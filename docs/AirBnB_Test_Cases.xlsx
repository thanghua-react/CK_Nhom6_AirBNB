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Report" sheetId="1" state="visible" r:id="rId1"/>
    <sheet name="Module 1" sheetId="2" state="visible" r:id="rId2"/>
    <sheet name="Module 2" sheetId="3" state="visible" r:id="rId3"/>
    <sheet name="Module 3" sheetId="4" state="visible" r:id="rId4"/>
    <sheet name="Module 4" sheetId="5" state="visible" r:id="rId5"/>
    <sheet name="Module 5" sheetId="6" state="visible" r:id="rId6"/>
    <sheet name="API Test" sheetId="7" state="visible" r:id="rId7"/>
    <sheet name="Bug Report" sheetId="8" state="visible" r:id="rId8"/>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6">
    <font>
      <name val="Calibri"/>
      <family val="2"/>
      <color theme="1"/>
      <sz val="11"/>
      <scheme val="minor"/>
    </font>
    <font>
      <name val="Times New Roman"/>
      <b val="1"/>
      <sz val="16"/>
    </font>
    <font>
      <name val="Times New Roman"/>
      <b val="1"/>
      <sz val="13"/>
    </font>
    <font>
      <name val="Times New Roman"/>
      <sz val="11"/>
    </font>
    <font>
      <name val="Times New Roman"/>
      <color rgb="000000FF"/>
      <sz val="11"/>
    </font>
    <font>
      <name val="Times New Roman"/>
      <b val="1"/>
      <sz val="11"/>
    </font>
  </fonts>
  <fills count="4">
    <fill>
      <patternFill/>
    </fill>
    <fill>
      <patternFill patternType="gray125"/>
    </fill>
    <fill>
      <patternFill patternType="solid">
        <fgColor rgb="00D0E0E3"/>
      </patternFill>
    </fill>
    <fill>
      <patternFill patternType="solid">
        <fgColor rgb="00C9DAF8"/>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center"/>
    </xf>
    <xf numFmtId="0" fontId="5" fillId="0" borderId="1" applyAlignment="1" pivotButton="0" quotePrefix="0" xfId="0">
      <alignment vertical="center" wrapText="1"/>
    </xf>
    <xf numFmtId="0" fontId="3" fillId="0" borderId="1" applyAlignment="1" pivotButton="0" quotePrefix="0" xfId="0">
      <alignment horizontal="left" vertical="bottom" wrapText="1"/>
    </xf>
    <xf numFmtId="0" fontId="0" fillId="0" borderId="1" pivotButton="0" quotePrefix="0" xfId="0"/>
    <xf numFmtId="165" fontId="3" fillId="0" borderId="1" applyAlignment="1" pivotButton="0" quotePrefix="0" xfId="0">
      <alignment horizontal="right" vertical="bottom" wrapText="1"/>
    </xf>
    <xf numFmtId="0" fontId="3" fillId="0" borderId="1" applyAlignment="1" pivotButton="0" quotePrefix="0" xfId="0">
      <alignment vertical="center" wrapText="1"/>
    </xf>
    <xf numFmtId="0" fontId="5"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5" fillId="0" borderId="0" applyAlignment="1" pivotButton="0" quotePrefix="0" xfId="0">
      <alignment vertical="center" wrapText="1"/>
    </xf>
    <xf numFmtId="0" fontId="3" fillId="0" borderId="0" applyAlignment="1" pivotButton="0" quotePrefix="0" xfId="0">
      <alignment vertical="center" wrapText="1"/>
    </xf>
    <xf numFmtId="0" fontId="2" fillId="0" borderId="1" applyAlignment="1" pivotButton="0" quotePrefix="0" xfId="0">
      <alignment vertical="center" wrapText="1"/>
    </xf>
    <xf numFmtId="0" fontId="2" fillId="2" borderId="1" applyAlignment="1" pivotButton="0" quotePrefix="0" xfId="0">
      <alignment horizontal="center" vertical="center" wrapText="1"/>
    </xf>
    <xf numFmtId="0" fontId="4" fillId="0" borderId="1" applyAlignment="1" pivotButton="0" quotePrefix="0" xfId="0">
      <alignment vertical="center" wrapText="1"/>
    </xf>
    <xf numFmtId="165" fontId="3"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Test execution status</a:t>
            </a:r>
          </a:p>
        </rich>
      </tx>
    </title>
    <plotArea>
      <pieChart>
        <varyColors val="1"/>
        <ser>
          <idx val="0"/>
          <order val="0"/>
          <spPr>
            <a:ln>
              <a:prstDash val="solid"/>
            </a:ln>
          </spPr>
          <cat>
            <numRef>
              <f>'Test Report'!$D$9:$G$9</f>
            </numRef>
          </cat>
          <val>
            <numRef>
              <f>'Test Report'!$D$16:$G$16</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18</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0" customWidth="1" min="1" max="1"/>
    <col width="56" customWidth="1" min="2" max="2"/>
    <col width="12" customWidth="1" min="3" max="3"/>
    <col width="12" customWidth="1" min="4" max="4"/>
    <col width="12" customWidth="1" min="5" max="5"/>
    <col width="12" customWidth="1" min="6" max="6"/>
    <col width="15" customWidth="1" min="7" max="7"/>
  </cols>
  <sheetData>
    <row r="1">
      <c r="A1" s="1" t="inlineStr">
        <is>
          <t>TEST REPORT</t>
        </is>
      </c>
    </row>
    <row r="3">
      <c r="A3" s="2" t="inlineStr">
        <is>
          <t>Project name</t>
        </is>
      </c>
      <c r="B3" s="3" t="inlineStr">
        <is>
          <t>AirBnB</t>
        </is>
      </c>
      <c r="C3" s="4" t="n"/>
      <c r="D3" s="4" t="n"/>
      <c r="E3" s="4" t="n"/>
      <c r="F3" s="4" t="n"/>
      <c r="G3" s="4" t="n"/>
    </row>
    <row r="4">
      <c r="A4" s="2" t="inlineStr">
        <is>
          <t>Start date</t>
        </is>
      </c>
      <c r="B4" s="5" t="n">
        <v>46269</v>
      </c>
      <c r="C4" s="4" t="n"/>
      <c r="D4" s="4" t="n"/>
      <c r="E4" s="4" t="n"/>
      <c r="F4" s="4" t="n"/>
      <c r="G4" s="4" t="n"/>
    </row>
    <row r="5">
      <c r="A5" s="2" t="inlineStr">
        <is>
          <t>End date</t>
        </is>
      </c>
      <c r="B5" s="5" t="n">
        <v>46313</v>
      </c>
      <c r="C5" s="4" t="n"/>
      <c r="D5" s="4" t="n"/>
      <c r="E5" s="4" t="n"/>
      <c r="F5" s="4" t="n"/>
      <c r="G5" s="4" t="n"/>
    </row>
    <row r="7" ht="48" customHeight="1">
      <c r="A7" s="2" t="inlineStr">
        <is>
          <t>Test Objective</t>
        </is>
      </c>
      <c r="B7" s="6" t="inlineStr">
        <is>
          <t>The system should ensure that users can register, log in, search for rooms, view room details, book a room and manage their profile without errors.</t>
        </is>
      </c>
      <c r="C7" s="4" t="n"/>
      <c r="D7" s="4" t="n"/>
      <c r="E7" s="4" t="n"/>
      <c r="F7" s="4" t="n"/>
      <c r="G7" s="4" t="n"/>
    </row>
    <row r="9">
      <c r="A9" s="7" t="inlineStr">
        <is>
          <t>Function</t>
        </is>
      </c>
      <c r="B9" s="7" t="inlineStr">
        <is>
          <t>Description</t>
        </is>
      </c>
      <c r="C9" s="7" t="inlineStr">
        <is>
          <t>Testcase</t>
        </is>
      </c>
      <c r="D9" s="7" t="inlineStr">
        <is>
          <t>Passed</t>
        </is>
      </c>
      <c r="E9" s="7" t="inlineStr">
        <is>
          <t>Failed</t>
        </is>
      </c>
      <c r="F9" s="7" t="inlineStr">
        <is>
          <t>Pending</t>
        </is>
      </c>
      <c r="G9" s="7" t="inlineStr">
        <is>
          <t>Not executed</t>
        </is>
      </c>
    </row>
    <row r="10">
      <c r="A10" s="6" t="inlineStr">
        <is>
          <t>Auth - Register, Sign in &amp; Sign out</t>
        </is>
      </c>
      <c r="B10" s="6" t="inlineStr">
        <is>
          <t>Check customer can register, login and logout</t>
        </is>
      </c>
      <c r="C10" s="8">
        <f>COUNTA('Module 1'!$A$11:$A$50)</f>
        <v/>
      </c>
      <c r="D10" s="8">
        <f>COUNTIF('Module 1'!$G$11:$G$50,"Pass")</f>
        <v/>
      </c>
      <c r="E10" s="8">
        <f>COUNTIF('Module 1'!$G$11:$G$50,"Fail")</f>
        <v/>
      </c>
      <c r="F10" s="8">
        <f>COUNTIF('Module 1'!$G$11:$G$50,"Pending")+COUNTIF('Module 1'!$G$11:$G$50,"Blocked")</f>
        <v/>
      </c>
      <c r="G10" s="8">
        <f>C10-D10-E10-F10</f>
        <v/>
      </c>
    </row>
    <row r="11">
      <c r="A11" s="6" t="inlineStr">
        <is>
          <t>Home &amp; Search</t>
        </is>
      </c>
      <c r="B11" s="6" t="inlineStr">
        <is>
          <t>Check customer can search rooms by location, date and number of guests</t>
        </is>
      </c>
      <c r="C11" s="8">
        <f>COUNTA('Module 2'!$A$11:$A$50)</f>
        <v/>
      </c>
      <c r="D11" s="8">
        <f>COUNTIF('Module 2'!$G$11:$G$50,"Pass")</f>
        <v/>
      </c>
      <c r="E11" s="8">
        <f>COUNTIF('Module 2'!$G$11:$G$50,"Fail")</f>
        <v/>
      </c>
      <c r="F11" s="8">
        <f>COUNTIF('Module 2'!$G$11:$G$50,"Pending")+COUNTIF('Module 2'!$G$11:$G$50,"Blocked")</f>
        <v/>
      </c>
      <c r="G11" s="8">
        <f>C11-D11-E11-F11</f>
        <v/>
      </c>
    </row>
    <row r="12">
      <c r="A12" s="6" t="inlineStr">
        <is>
          <t>Room List &amp; Room Detail</t>
        </is>
      </c>
      <c r="B12" s="6" t="inlineStr">
        <is>
          <t>Check customer can view room list and room detail information</t>
        </is>
      </c>
      <c r="C12" s="8">
        <f>COUNTA('Module 3'!$A$11:$A$50)</f>
        <v/>
      </c>
      <c r="D12" s="8">
        <f>COUNTIF('Module 3'!$G$11:$G$50,"Pass")</f>
        <v/>
      </c>
      <c r="E12" s="8">
        <f>COUNTIF('Module 3'!$G$11:$G$50,"Fail")</f>
        <v/>
      </c>
      <c r="F12" s="8">
        <f>COUNTIF('Module 3'!$G$11:$G$50,"Pending")+COUNTIF('Module 3'!$G$11:$G$50,"Blocked")</f>
        <v/>
      </c>
      <c r="G12" s="8">
        <f>C12-D12-E12-F12</f>
        <v/>
      </c>
    </row>
    <row r="13">
      <c r="A13" s="6" t="inlineStr">
        <is>
          <t>Booking</t>
        </is>
      </c>
      <c r="B13" s="6" t="inlineStr">
        <is>
          <t>Check user can pick dates, guests and book a room</t>
        </is>
      </c>
      <c r="C13" s="8">
        <f>COUNTA('Module 4'!$A$11:$A$50)</f>
        <v/>
      </c>
      <c r="D13" s="8">
        <f>COUNTIF('Module 4'!$G$11:$G$50,"Pass")</f>
        <v/>
      </c>
      <c r="E13" s="8">
        <f>COUNTIF('Module 4'!$G$11:$G$50,"Fail")</f>
        <v/>
      </c>
      <c r="F13" s="8">
        <f>COUNTIF('Module 4'!$G$11:$G$50,"Pending")+COUNTIF('Module 4'!$G$11:$G$50,"Blocked")</f>
        <v/>
      </c>
      <c r="G13" s="8">
        <f>C13-D13-E13-F13</f>
        <v/>
      </c>
    </row>
    <row r="14">
      <c r="A14" s="6" t="inlineStr">
        <is>
          <t>User Profile</t>
        </is>
      </c>
      <c r="B14" s="6" t="inlineStr">
        <is>
          <t>Check user can view/update profile, upload avatar and view booking history</t>
        </is>
      </c>
      <c r="C14" s="8">
        <f>COUNTA('Module 5'!$A$11:$A$50)</f>
        <v/>
      </c>
      <c r="D14" s="8">
        <f>COUNTIF('Module 5'!$G$11:$G$50,"Pass")</f>
        <v/>
      </c>
      <c r="E14" s="8">
        <f>COUNTIF('Module 5'!$G$11:$G$50,"Fail")</f>
        <v/>
      </c>
      <c r="F14" s="8">
        <f>COUNTIF('Module 5'!$G$11:$G$50,"Pending")+COUNTIF('Module 5'!$G$11:$G$50,"Blocked")</f>
        <v/>
      </c>
      <c r="G14" s="8">
        <f>C14-D14-E14-F14</f>
        <v/>
      </c>
    </row>
    <row r="15">
      <c r="A15" s="6" t="inlineStr">
        <is>
          <t>API</t>
        </is>
      </c>
      <c r="B15" s="6" t="inlineStr">
        <is>
          <t>Check API test</t>
        </is>
      </c>
      <c r="C15" s="8">
        <f>COUNTA('API Test'!$A$11:$A$50)</f>
        <v/>
      </c>
      <c r="D15" s="8">
        <f>COUNTIF('API Test'!$G$11:$G$50,"Pass")</f>
        <v/>
      </c>
      <c r="E15" s="8">
        <f>COUNTIF('API Test'!$G$11:$G$50,"Fail")</f>
        <v/>
      </c>
      <c r="F15" s="8">
        <f>COUNTIF('API Test'!$G$11:$G$50,"Pending")+COUNTIF('API Test'!$G$11:$G$50,"Blocked")</f>
        <v/>
      </c>
      <c r="G15" s="8">
        <f>C15-D15-E15-F15</f>
        <v/>
      </c>
    </row>
    <row r="16">
      <c r="A16" s="7" t="inlineStr">
        <is>
          <t>Summary</t>
        </is>
      </c>
      <c r="B16" s="9" t="n"/>
      <c r="C16" s="9">
        <f>SUM(C10:C15)</f>
        <v/>
      </c>
      <c r="D16" s="9">
        <f>SUM(D10:D15)</f>
        <v/>
      </c>
      <c r="E16" s="9">
        <f>SUM(E10:E15)</f>
        <v/>
      </c>
      <c r="F16" s="9">
        <f>SUM(F10:F15)</f>
        <v/>
      </c>
      <c r="G16" s="9">
        <f>SUM(G10:G15)</f>
        <v/>
      </c>
    </row>
    <row r="18">
      <c r="A18" s="10" t="inlineStr">
        <is>
          <t>Defect</t>
        </is>
      </c>
      <c r="B18" s="11">
        <f>COUNTA('Bug Report'!$A$11:$A$50)&amp;" defect(s) logged in the Bug Report sheet"</f>
        <v/>
      </c>
    </row>
    <row r="37">
      <c r="A37" s="10" t="inlineStr">
        <is>
          <t>Kết luận:</t>
        </is>
      </c>
      <c r="B37" s="11">
        <f>IFERROR("Passed: "&amp;ROUND(D16/C16*100,1)&amp;"% | Failed: "&amp;ROUND(E16/C16*100,1)&amp;"% | Pending/Blocked: "&amp;ROUND(F16/C16*100,1)&amp;"% | Not executed: "&amp;ROUND(G16/C16*100,1)&amp;"%","")</f>
        <v/>
      </c>
    </row>
  </sheetData>
  <mergeCells count="6">
    <mergeCell ref="B3:G3"/>
    <mergeCell ref="A1:G1"/>
    <mergeCell ref="B5:G5"/>
    <mergeCell ref="B37:G37"/>
    <mergeCell ref="B4:G4"/>
    <mergeCell ref="B7:G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25"/>
  <sheetViews>
    <sheetView workbookViewId="0">
      <pane ySplit="10" topLeftCell="A11" activePane="bottomLeft" state="frozen"/>
      <selection pane="bottomLeft" activeCell="A1" sqref="A1"/>
    </sheetView>
  </sheetViews>
  <sheetFormatPr baseColWidth="8" defaultRowHeight="15"/>
  <cols>
    <col width="14" customWidth="1" min="1" max="1"/>
    <col width="36" customWidth="1" min="2" max="2"/>
    <col width="30" customWidth="1" min="3" max="3"/>
    <col width="52" customWidth="1" min="4" max="4"/>
    <col width="34" customWidth="1" min="5" max="5"/>
    <col width="42" customWidth="1" min="6" max="6"/>
    <col width="16" customWidth="1" min="7" max="7"/>
    <col width="30" customWidth="1" min="8" max="8"/>
    <col width="18" customWidth="1" min="9" max="9"/>
    <col width="14" customWidth="1" min="10" max="10"/>
    <col width="20" customWidth="1" min="11" max="11"/>
    <col width="38" customWidth="1" min="12" max="12"/>
  </cols>
  <sheetData>
    <row r="1">
      <c r="A1" s="1" t="inlineStr">
        <is>
          <t>TEST CASE</t>
        </is>
      </c>
    </row>
    <row r="3">
      <c r="B3" s="12" t="inlineStr">
        <is>
          <t>Screen's name / Function's name</t>
        </is>
      </c>
      <c r="C3" s="6" t="inlineStr">
        <is>
          <t>Auth - Register, Sign in &amp; Sign out</t>
        </is>
      </c>
    </row>
    <row r="4">
      <c r="B4" s="12" t="inlineStr">
        <is>
          <t>Testcase Author</t>
        </is>
      </c>
      <c r="C4" s="6" t="inlineStr">
        <is>
          <t>Hứa Vinh Thắng</t>
        </is>
      </c>
    </row>
    <row r="10">
      <c r="A10" s="13" t="inlineStr">
        <is>
          <t>Test Case ID</t>
        </is>
      </c>
      <c r="B10" s="13" t="inlineStr">
        <is>
          <t>Title</t>
        </is>
      </c>
      <c r="C10" s="13" t="inlineStr">
        <is>
          <t>Pre-Conditions</t>
        </is>
      </c>
      <c r="D10" s="13" t="inlineStr">
        <is>
          <t>Test Steps</t>
        </is>
      </c>
      <c r="E10" s="13" t="inlineStr">
        <is>
          <t>Test Data</t>
        </is>
      </c>
      <c r="F10" s="13" t="inlineStr">
        <is>
          <t>Expected Results</t>
        </is>
      </c>
      <c r="G10" s="13" t="inlineStr">
        <is>
          <t>Execution Status</t>
        </is>
      </c>
      <c r="H10" s="13" t="inlineStr">
        <is>
          <t>Actual Results</t>
        </is>
      </c>
      <c r="I10" s="13" t="inlineStr">
        <is>
          <t>Test Environment</t>
        </is>
      </c>
      <c r="J10" s="13" t="inlineStr">
        <is>
          <t>Bug Priority</t>
        </is>
      </c>
      <c r="K10" s="13" t="inlineStr">
        <is>
          <t>Attachments</t>
        </is>
      </c>
      <c r="L10" s="13" t="inlineStr">
        <is>
          <t>Notes</t>
        </is>
      </c>
    </row>
    <row r="11">
      <c r="A11" s="6" t="inlineStr">
        <is>
          <t>TC_01</t>
        </is>
      </c>
      <c r="B11" s="6" t="inlineStr">
        <is>
          <t>Xác thực đăng ký thành công khi nhập thông tin hợp lệ ở form Đăng ký.</t>
        </is>
      </c>
      <c r="C11" s="6" t="inlineStr">
        <is>
          <t>Email dùng để đăng ký chưa tồn tại trên hệ thống.</t>
        </is>
      </c>
      <c r="D11" s="6" t="inlineStr">
        <is>
          <t>1. Truy cập https://demo5.cybersoft.edu.vn/
2. Click icon user ở góc phải header
3. Click [Đăng ký]
4. Nhập thông tin vào ô [Name]
5. Nhập thông tin vào ô [Email]
6. Nhập thông tin vào ô [Password]
7. Nhập thông tin vào ô [Phone]
8. Chọn ngày tại ô [Birthday]
9. Chọn option tại ô [Gender]
10. Click button [Đăng ký]</t>
        </is>
      </c>
      <c r="E11" s="6" t="inlineStr">
        <is>
          <t>- Name: test16-nhom6-new
- Email: (email mới chưa từng đăng ký)
- Password: test16-nhom6-new
- Phone: 0123456789
- Birthday: January 01, 2000
- Gender: Nam</t>
        </is>
      </c>
      <c r="F11" s="6" t="inlineStr">
        <is>
          <t>10. User được tạo thành công.
Hệ thống hiển thị thông báo đăng ký thành công.</t>
        </is>
      </c>
      <c r="G11" s="6" t="inlineStr">
        <is>
          <t>Pass</t>
        </is>
      </c>
      <c r="H11" s="6" t="inlineStr">
        <is>
          <t>10. Đăng ký thành công, không gặp lỗi (tester thực hiện thủ công).</t>
        </is>
      </c>
      <c r="I11" s="6" t="inlineStr">
        <is>
          <t>Chrome (thủ công)</t>
        </is>
      </c>
      <c r="J11" s="6" t="n"/>
      <c r="K11" s="6" t="n"/>
      <c r="L11" s="6" t="inlineStr">
        <is>
          <t>Manual (không tự động hóa để tránh tạo user rác trên site demo).</t>
        </is>
      </c>
    </row>
    <row r="12">
      <c r="A12" s="6" t="inlineStr">
        <is>
          <t>TC_02</t>
        </is>
      </c>
      <c r="B12" s="6" t="inlineStr">
        <is>
          <t>Xác thực đăng ký thất bại khi nhập email đã tồn tại.</t>
        </is>
      </c>
      <c r="C12" s="6" t="inlineStr">
        <is>
          <t>Email test16-nhom6-register@gmail.com đã được đăng ký.</t>
        </is>
      </c>
      <c r="D12" s="6" t="inlineStr">
        <is>
          <t>1. Truy cập https://demo5.cybersoft.edu.vn/
2. Click icon user ở góc phải header
3. Click [Đăng ký]
4. Nhập thông tin vào ô [Name]
5. Nhập thông tin vào ô [Email]
6. Nhập thông tin vào ô [Password]
7. Nhập thông tin vào ô [Phone]
8. Chọn ngày tại ô [Birthday]
9. Chọn option tại ô [Gender]
10. Click button [Đăng ký]</t>
        </is>
      </c>
      <c r="E12" s="6" t="inlineStr">
        <is>
          <t>- Name: test16-nhom6-register
- Email: test16-nhom6-register@gmail.com
- Password: test16-nhom6-register
- Phone: 0123456789
- Birthday: January 01, 2000
- Gender: Nam</t>
        </is>
      </c>
      <c r="F12" s="6" t="inlineStr">
        <is>
          <t>10. Đăng ký thất bại.
Xuất hiện thông báo "Email đã tồn tại !"</t>
        </is>
      </c>
      <c r="G12" s="6" t="inlineStr">
        <is>
          <t>Pass</t>
        </is>
      </c>
      <c r="H12" s="6" t="n"/>
      <c r="I12" s="6" t="inlineStr">
        <is>
          <t>Chromium (Playwright)</t>
        </is>
      </c>
      <c r="J12" s="6" t="n"/>
      <c r="K12" s="6" t="n"/>
      <c r="L12" s="6" t="inlineStr">
        <is>
          <t>Automated: tests/ui/register.spec.ts › TC_01: register fails when the email already exists</t>
        </is>
      </c>
    </row>
    <row r="13">
      <c r="A13" s="6" t="inlineStr">
        <is>
          <t>TC_03</t>
        </is>
      </c>
      <c r="B13" s="6" t="inlineStr">
        <is>
          <t>Kiểm tra message lỗi khi để trống các trường bắt buộc.</t>
        </is>
      </c>
      <c r="C13" s="6" t="n"/>
      <c r="D13" s="6" t="inlineStr">
        <is>
          <t>1. Truy cập https://demo5.cybersoft.edu.vn/
2. Click icon user ở góc phải header
3. Click [Đăng ký]
4. Nhập thông tin vào ô [Name]
5. Nhập [Email], [Birthday], [Gender] hợp lệ
6. Để trống ô [Password] và [Phone]
7. Click button [Đăng ký]</t>
        </is>
      </c>
      <c r="E13" s="6" t="inlineStr">
        <is>
          <t>- Name: test16-nhom6-register
- Email: test16-nhom6-register@gmail.com
- Password: (để trống)
- Phone: (để trống)</t>
        </is>
      </c>
      <c r="F13" s="6" t="inlineStr">
        <is>
          <t>7. Hiển thị message "Vui lòng không bỏ trống" dưới ô [Password] và ô [Phone].</t>
        </is>
      </c>
      <c r="G13" s="6" t="inlineStr">
        <is>
          <t>Pass</t>
        </is>
      </c>
      <c r="H13" s="6" t="n"/>
      <c r="I13" s="6" t="inlineStr">
        <is>
          <t>Chromium (Playwright)</t>
        </is>
      </c>
      <c r="J13" s="6" t="n"/>
      <c r="K13" s="6" t="n"/>
      <c r="L13" s="6" t="inlineStr">
        <is>
          <t>Automated: tests/ui/register.spec.ts › required field messages are shown</t>
        </is>
      </c>
    </row>
    <row r="14">
      <c r="A14" s="6" t="inlineStr">
        <is>
          <t>TC_04</t>
        </is>
      </c>
      <c r="B14" s="6" t="inlineStr">
        <is>
          <t>Kiểm tra message lỗi khi nhập email sai định dạng.</t>
        </is>
      </c>
      <c r="C14" s="6" t="n"/>
      <c r="D14" s="6" t="inlineStr">
        <is>
          <t>1. Truy cập https://demo5.cybersoft.edu.vn/
2. Click icon user ở góc phải header
3. Click [Đăng ký]
4. Nhập email sai định dạng vào ô [Email]
5. Click sang ô khác (nhấn Tab)</t>
        </is>
      </c>
      <c r="E14" s="6" t="inlineStr">
        <is>
          <t>- Email: testing06gmail
- Email: abc@
- Email: @gmail.com
- Email: abc@gmail
- Email: abc@gmail..com</t>
        </is>
      </c>
      <c r="F14" s="6" t="inlineStr">
        <is>
          <t>5. Hiển thị message "Vui lòng nhập đúng định dạng email" dưới ô [Email].</t>
        </is>
      </c>
      <c r="G14" s="6" t="inlineStr">
        <is>
          <t>Fail</t>
        </is>
      </c>
      <c r="H14" s="6" t="inlineStr">
        <is>
          <t>5. 4/5 email sai định dạng hiển thị đúng message (testing06gmail, abc@, @gmail.com, abc@gmail..com).
Email "abc@gmail" KHÔNG hiển thị message lỗi: hệ thống chấp nhận email thiếu phần tên miền đầy đủ.</t>
        </is>
      </c>
      <c r="I14" s="6" t="inlineStr">
        <is>
          <t>Chromium (Playwright)</t>
        </is>
      </c>
      <c r="J14" s="6" t="inlineStr">
        <is>
          <t>Medium</t>
        </is>
      </c>
      <c r="K14" s="6" t="n"/>
      <c r="L14" s="6" t="inlineStr">
        <is>
          <t>Automated: tests/ui/register.spec.ts › email format message is shown for &lt;email&gt; (5 test, mỗi email 1 test)</t>
        </is>
      </c>
    </row>
    <row r="15">
      <c r="A15" s="6" t="inlineStr">
        <is>
          <t>TC_05</t>
        </is>
      </c>
      <c r="B15" s="6" t="inlineStr">
        <is>
          <t>Xác thực đăng nhập thành công khi nhập đúng Email và Password đã đăng ký.</t>
        </is>
      </c>
      <c r="C15" s="6" t="inlineStr">
        <is>
          <t>Tài khoản đã được đăng ký.</t>
        </is>
      </c>
      <c r="D15" s="6" t="inlineStr">
        <is>
          <t>1. Truy cập https://demo5.cybersoft.edu.vn/
2. Click icon user ở góc phải header
3. Click [Đăng nhập]
4. Nhập thông tin vào ô [Email]
5. Nhập thông tin vào ô [Password]
6. Click button [Đăng nhập]</t>
        </is>
      </c>
      <c r="E15" s="6" t="inlineStr">
        <is>
          <t>- Email: test16-nhom6@gmail.com
- Password: test16-nhom6</t>
        </is>
      </c>
      <c r="F15" s="6" t="inlineStr">
        <is>
          <t>6. Đăng nhập thành công.
Icon user ở header chuyển sang trạng thái đã đăng nhập (hiển thị menu tài khoản).</t>
        </is>
      </c>
      <c r="G15" s="6" t="inlineStr">
        <is>
          <t>Pass</t>
        </is>
      </c>
      <c r="H15" s="6" t="n"/>
      <c r="I15" s="6" t="inlineStr">
        <is>
          <t>Chromium (Playwright)</t>
        </is>
      </c>
      <c r="J15" s="6" t="n"/>
      <c r="K15" s="6" t="n"/>
      <c r="L15" s="6" t="inlineStr">
        <is>
          <t>Automated: tests/ui/login.spec.ts › TC_03: login with a valid account</t>
        </is>
      </c>
    </row>
    <row r="16">
      <c r="A16" s="6" t="inlineStr">
        <is>
          <t>TC_06</t>
        </is>
      </c>
      <c r="B16" s="6" t="inlineStr">
        <is>
          <t>Xác thực đăng nhập thất bại khi nhập sai Email/Password.</t>
        </is>
      </c>
      <c r="C16" s="6" t="n"/>
      <c r="D16" s="6" t="inlineStr">
        <is>
          <t>1. Truy cập https://demo5.cybersoft.edu.vn/
2. Click icon user ở góc phải header
3. Click [Đăng nhập]
4. Nhập thông tin vào ô [Email]
5. Nhập thông tin vào ô [Password]
6. Click button [Đăng nhập]</t>
        </is>
      </c>
      <c r="E16" s="6" t="inlineStr">
        <is>
          <t>- Email: test16-nhom6@gmail.com2
- Password: test16-nhom62</t>
        </is>
      </c>
      <c r="F16" s="6" t="inlineStr">
        <is>
          <t>6. Đăng nhập thất bại.
Xuất hiện thông báo "Email hoặc mật khẩu không đúng !"</t>
        </is>
      </c>
      <c r="G16" s="6" t="inlineStr">
        <is>
          <t>Pass</t>
        </is>
      </c>
      <c r="H16" s="6" t="n"/>
      <c r="I16" s="6" t="inlineStr">
        <is>
          <t>Chromium (Playwright)</t>
        </is>
      </c>
      <c r="J16" s="6" t="n"/>
      <c r="K16" s="6" t="n"/>
      <c r="L16" s="6" t="inlineStr">
        <is>
          <t>Automated: tests/ui/login.spec.ts › TC_04: login fails with a wrong email/password</t>
        </is>
      </c>
    </row>
    <row r="17">
      <c r="A17" s="6" t="inlineStr">
        <is>
          <t>TC_07</t>
        </is>
      </c>
      <c r="B17" s="6" t="inlineStr">
        <is>
          <t>Kiểm tra đăng xuất thành công từ trang chủ.</t>
        </is>
      </c>
      <c r="C17" s="6" t="inlineStr">
        <is>
          <t>Người dùng đã đăng nhập thành công bằng tài khoản hợp lệ.</t>
        </is>
      </c>
      <c r="D17" s="6" t="inlineStr">
        <is>
          <t>1. Truy cập https://demo5.cybersoft.edu.vn/
2. Đăng nhập bằng tài khoản hợp lệ
3. Click icon user ở header
4. Click [Sign out]</t>
        </is>
      </c>
      <c r="E17" s="6" t="inlineStr">
        <is>
          <t>- Email: test16-nhom6@gmail.com
- Password: test16-nhom6</t>
        </is>
      </c>
      <c r="F17" s="6" t="inlineStr">
        <is>
          <t>4. Đăng xuất thành công.
Xuất hiện thông báo "Đăng xuất thành công" và header trở về trạng thái khách.</t>
        </is>
      </c>
      <c r="G17" s="6" t="inlineStr">
        <is>
          <t>Pass</t>
        </is>
      </c>
      <c r="H17" s="6" t="n"/>
      <c r="I17" s="6" t="inlineStr">
        <is>
          <t>Chromium (Playwright)</t>
        </is>
      </c>
      <c r="J17" s="6" t="n"/>
      <c r="K17" s="6" t="n"/>
      <c r="L17" s="6" t="inlineStr">
        <is>
          <t>Automated: tests/ui/logout.spec.ts › logout from the home page</t>
        </is>
      </c>
    </row>
    <row r="18">
      <c r="A18" s="6" t="inlineStr">
        <is>
          <t>TC_08</t>
        </is>
      </c>
      <c r="B18" s="6" t="inlineStr">
        <is>
          <t>Kiểm tra đăng xuất thành công từ trang danh sách phòng.</t>
        </is>
      </c>
      <c r="C18" s="6" t="inlineStr">
        <is>
          <t>Người dùng đã đăng nhập thành công bằng tài khoản hợp lệ.</t>
        </is>
      </c>
      <c r="D18" s="6" t="inlineStr">
        <is>
          <t>1. Truy cập https://demo5.cybersoft.edu.vn/
2. Đăng nhập bằng tài khoản hợp lệ
3. Click thẻ địa điểm [Hồ Chí Minh] trên trang chủ
4. Click icon user ở header
5. Click [Sign out]</t>
        </is>
      </c>
      <c r="E18" s="6" t="inlineStr">
        <is>
          <t>- Email: test16-nhom6@gmail.com
- Password: test16-nhom6</t>
        </is>
      </c>
      <c r="F18" s="6" t="inlineStr">
        <is>
          <t>5. Đăng xuất thành công.
Xuất hiện thông báo "Đăng xuất thành công" và header trở về trạng thái khách.</t>
        </is>
      </c>
      <c r="G18" s="6" t="inlineStr">
        <is>
          <t>Pass</t>
        </is>
      </c>
      <c r="H18" s="6" t="n"/>
      <c r="I18" s="6" t="inlineStr">
        <is>
          <t>Chromium (Playwright)</t>
        </is>
      </c>
      <c r="J18" s="6" t="n"/>
      <c r="K18" s="6" t="n"/>
      <c r="L18" s="6" t="inlineStr">
        <is>
          <t>Automated: tests/ui/logout.spec.ts › logout from the room list page</t>
        </is>
      </c>
    </row>
    <row r="19">
      <c r="A19" s="6" t="inlineStr">
        <is>
          <t>TC_09</t>
        </is>
      </c>
      <c r="B19" s="6" t="inlineStr">
        <is>
          <t>Kiểm tra đăng xuất thành công từ trang chi tiết phòng.</t>
        </is>
      </c>
      <c r="C19" s="6" t="inlineStr">
        <is>
          <t>Người dùng đã đăng nhập thành công bằng tài khoản hợp lệ.</t>
        </is>
      </c>
      <c r="D19" s="6" t="inlineStr">
        <is>
          <t>1. Truy cập https://demo5.cybersoft.edu.vn/
2. Đăng nhập bằng tài khoản hợp lệ
3. Click thẻ địa điểm [Hồ Chí Minh] trên trang chủ
4. Click thẻ phòng đầu tiên trong danh sách
5. Click icon user ở header
6. Click [Sign out]</t>
        </is>
      </c>
      <c r="E19" s="6" t="inlineStr">
        <is>
          <t>- Email: test16-nhom6@gmail.com
- Password: test16-nhom6</t>
        </is>
      </c>
      <c r="F19" s="6" t="inlineStr">
        <is>
          <t>6. Đăng xuất thành công.
Xuất hiện thông báo "Đăng xuất thành công" và header trở về trạng thái khách.</t>
        </is>
      </c>
      <c r="G19" s="6" t="inlineStr">
        <is>
          <t>Pass</t>
        </is>
      </c>
      <c r="H19" s="6" t="n"/>
      <c r="I19" s="6" t="inlineStr">
        <is>
          <t>Chromium (Playwright)</t>
        </is>
      </c>
      <c r="J19" s="6" t="n"/>
      <c r="K19" s="6" t="n"/>
      <c r="L19" s="6" t="inlineStr">
        <is>
          <t>Automated: tests/ui/logout.spec.ts › logout from the room detail page</t>
        </is>
      </c>
    </row>
    <row r="20">
      <c r="A20" s="6" t="inlineStr">
        <is>
          <t>TC_10</t>
        </is>
      </c>
      <c r="B20" s="6" t="inlineStr">
        <is>
          <t>Kiểm tra đăng xuất thành công từ trang Profile.</t>
        </is>
      </c>
      <c r="C20" s="6" t="inlineStr">
        <is>
          <t>Người dùng đã đăng nhập thành công bằng tài khoản hợp lệ.</t>
        </is>
      </c>
      <c r="D20" s="6" t="inlineStr">
        <is>
          <t>1. Truy cập https://demo5.cybersoft.edu.vn/
2. Đăng nhập bằng tài khoản hợp lệ
3. Click icon user ở header
4. Click [Dashboard] để vào trang Profile
5. Click icon user ở header
6. Click [Sign out]</t>
        </is>
      </c>
      <c r="E20" s="6" t="inlineStr">
        <is>
          <t>- Email: test16-nhom6@gmail.com
- Password: test16-nhom6</t>
        </is>
      </c>
      <c r="F20" s="6" t="inlineStr">
        <is>
          <t>6. Đăng xuất thành công.
Xuất hiện thông báo "Đăng xuất thành công", header trở về trạng thái khách và hệ thống chuyển về trang chủ (hiển thị banner).</t>
        </is>
      </c>
      <c r="G20" s="6" t="inlineStr">
        <is>
          <t>Pass</t>
        </is>
      </c>
      <c r="H20" s="6" t="n"/>
      <c r="I20" s="6" t="inlineStr">
        <is>
          <t>Chromium (Playwright)</t>
        </is>
      </c>
      <c r="J20" s="6" t="n"/>
      <c r="K20" s="6" t="n"/>
      <c r="L20" s="6" t="inlineStr">
        <is>
          <t>Automated: tests/ui/logout.spec.ts › logout from the profile page</t>
        </is>
      </c>
    </row>
    <row r="21">
      <c r="A21" s="6" t="n"/>
      <c r="B21" s="6" t="n"/>
      <c r="C21" s="6" t="n"/>
      <c r="D21" s="6" t="n"/>
      <c r="E21" s="6" t="n"/>
      <c r="F21" s="6" t="n"/>
      <c r="G21" s="6" t="n"/>
      <c r="H21" s="6" t="n"/>
      <c r="I21" s="6" t="n"/>
      <c r="J21" s="6" t="n"/>
      <c r="K21" s="6" t="n"/>
      <c r="L21" s="6" t="n"/>
    </row>
    <row r="22">
      <c r="A22" s="6" t="n"/>
      <c r="B22" s="6" t="n"/>
      <c r="C22" s="6" t="n"/>
      <c r="D22" s="6" t="n"/>
      <c r="E22" s="6" t="n"/>
      <c r="F22" s="6" t="n"/>
      <c r="G22" s="6" t="n"/>
      <c r="H22" s="6" t="n"/>
      <c r="I22" s="6" t="n"/>
      <c r="J22" s="6" t="n"/>
      <c r="K22" s="6" t="n"/>
      <c r="L22" s="6" t="n"/>
    </row>
    <row r="23">
      <c r="A23" s="6" t="n"/>
      <c r="B23" s="6" t="n"/>
      <c r="C23" s="6" t="n"/>
      <c r="D23" s="6" t="n"/>
      <c r="E23" s="6" t="n"/>
      <c r="F23" s="6" t="n"/>
      <c r="G23" s="6" t="n"/>
      <c r="H23" s="6" t="n"/>
      <c r="I23" s="6" t="n"/>
      <c r="J23" s="6" t="n"/>
      <c r="K23" s="6" t="n"/>
      <c r="L23" s="6" t="n"/>
    </row>
    <row r="24">
      <c r="A24" s="6" t="n"/>
      <c r="B24" s="6" t="n"/>
      <c r="C24" s="6" t="n"/>
      <c r="D24" s="6" t="n"/>
      <c r="E24" s="6" t="n"/>
      <c r="F24" s="6" t="n"/>
      <c r="G24" s="6" t="n"/>
      <c r="H24" s="6" t="n"/>
      <c r="I24" s="6" t="n"/>
      <c r="J24" s="6" t="n"/>
      <c r="K24" s="6" t="n"/>
      <c r="L24" s="6" t="n"/>
    </row>
    <row r="25">
      <c r="A25" s="6" t="n"/>
      <c r="B25" s="6" t="n"/>
      <c r="C25" s="6" t="n"/>
      <c r="D25" s="6" t="n"/>
      <c r="E25" s="6" t="n"/>
      <c r="F25" s="6" t="n"/>
      <c r="G25" s="6" t="n"/>
      <c r="H25" s="6" t="n"/>
      <c r="I25" s="6" t="n"/>
      <c r="J25" s="6" t="n"/>
      <c r="K25" s="6" t="n"/>
      <c r="L25" s="6" t="n"/>
    </row>
  </sheetData>
  <mergeCells count="1">
    <mergeCell ref="A1:H1"/>
  </mergeCells>
  <dataValidations count="2">
    <dataValidation sqref="G11:G50" showDropDown="0" showInputMessage="0" showErrorMessage="0" allowBlank="1" type="list">
      <formula1>"Pass,Fail,Pending,N/A,Blocked"</formula1>
    </dataValidation>
    <dataValidation sqref="J11:J50"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
  <sheetViews>
    <sheetView workbookViewId="0">
      <pane ySplit="10" topLeftCell="A11" activePane="bottomLeft" state="frozen"/>
      <selection pane="bottomLeft" activeCell="A1" sqref="A1"/>
    </sheetView>
  </sheetViews>
  <sheetFormatPr baseColWidth="8" defaultRowHeight="15"/>
  <cols>
    <col width="14" customWidth="1" min="1" max="1"/>
    <col width="36" customWidth="1" min="2" max="2"/>
    <col width="30" customWidth="1" min="3" max="3"/>
    <col width="52" customWidth="1" min="4" max="4"/>
    <col width="34" customWidth="1" min="5" max="5"/>
    <col width="42" customWidth="1" min="6" max="6"/>
    <col width="16" customWidth="1" min="7" max="7"/>
    <col width="30" customWidth="1" min="8" max="8"/>
    <col width="18" customWidth="1" min="9" max="9"/>
    <col width="14" customWidth="1" min="10" max="10"/>
    <col width="20" customWidth="1" min="11" max="11"/>
    <col width="38" customWidth="1" min="12" max="12"/>
  </cols>
  <sheetData>
    <row r="1">
      <c r="A1" s="1" t="inlineStr">
        <is>
          <t>TEST CASE</t>
        </is>
      </c>
    </row>
    <row r="3">
      <c r="B3" s="12" t="inlineStr">
        <is>
          <t>Screen's name / Function's name</t>
        </is>
      </c>
      <c r="C3" s="6" t="inlineStr">
        <is>
          <t>Home &amp; Search</t>
        </is>
      </c>
    </row>
    <row r="4">
      <c r="B4" s="12" t="inlineStr">
        <is>
          <t>Testcase Author</t>
        </is>
      </c>
      <c r="C4" s="6" t="inlineStr">
        <is>
          <t>Mohamed Hary</t>
        </is>
      </c>
    </row>
    <row r="10">
      <c r="A10" s="13" t="inlineStr">
        <is>
          <t>Test Case ID</t>
        </is>
      </c>
      <c r="B10" s="13" t="inlineStr">
        <is>
          <t>Title</t>
        </is>
      </c>
      <c r="C10" s="13" t="inlineStr">
        <is>
          <t>Pre-Conditions</t>
        </is>
      </c>
      <c r="D10" s="13" t="inlineStr">
        <is>
          <t>Test Steps</t>
        </is>
      </c>
      <c r="E10" s="13" t="inlineStr">
        <is>
          <t>Test Data</t>
        </is>
      </c>
      <c r="F10" s="13" t="inlineStr">
        <is>
          <t>Expected Results</t>
        </is>
      </c>
      <c r="G10" s="13" t="inlineStr">
        <is>
          <t>Execution Status</t>
        </is>
      </c>
      <c r="H10" s="13" t="inlineStr">
        <is>
          <t>Actual Results</t>
        </is>
      </c>
      <c r="I10" s="13" t="inlineStr">
        <is>
          <t>Test Environment</t>
        </is>
      </c>
      <c r="J10" s="13" t="inlineStr">
        <is>
          <t>Bug Priority</t>
        </is>
      </c>
      <c r="K10" s="13" t="inlineStr">
        <is>
          <t>Attachments</t>
        </is>
      </c>
      <c r="L10" s="13" t="inlineStr">
        <is>
          <t>Notes</t>
        </is>
      </c>
    </row>
    <row r="11">
      <c r="A11" s="6" t="inlineStr">
        <is>
          <t>TC_11</t>
        </is>
      </c>
      <c r="B11" s="6" t="inlineStr">
        <is>
          <t>Kiểm tra tìm kiếm phòng theo địa điểm.</t>
        </is>
      </c>
      <c r="C11" s="6" t="n"/>
      <c r="D11" s="6" t="inlineStr">
        <is>
          <t>1. Truy cập https://demo5.cybersoft.edu.vn/
2. Click ô [Địa điểm]
3. Chọn địa điểm [Hồ Chí Minh]
4. Click button Tìm kiếm</t>
        </is>
      </c>
      <c r="E11" s="6" t="inlineStr">
        <is>
          <t>- Địa điểm: Hồ Chí Minh</t>
        </is>
      </c>
      <c r="F11" s="6" t="inlineStr">
        <is>
          <t>4. Hệ thống chuyển sang trang danh sách phòng, URL chứa "ho-chi-minh".</t>
        </is>
      </c>
      <c r="G11" s="6" t="inlineStr">
        <is>
          <t>Pass</t>
        </is>
      </c>
      <c r="H11" s="6" t="n"/>
      <c r="I11" s="6" t="inlineStr">
        <is>
          <t>Chromium (Playwright)</t>
        </is>
      </c>
      <c r="J11" s="6" t="n"/>
      <c r="K11" s="6" t="n"/>
      <c r="L11" s="6" t="inlineStr">
        <is>
          <t>Automated: tests/ui/home.spec.ts › TC_07: search rooms by location</t>
        </is>
      </c>
    </row>
    <row r="12">
      <c r="A12" s="6" t="inlineStr">
        <is>
          <t>TC_12</t>
        </is>
      </c>
      <c r="B12" s="6" t="inlineStr">
        <is>
          <t>Kiểm tra chọn địa điểm từ danh sách vị trí trên trang chủ.</t>
        </is>
      </c>
      <c r="C12" s="6" t="n"/>
      <c r="D12" s="6" t="inlineStr">
        <is>
          <t>1. Truy cập https://demo5.cybersoft.edu.vn/
2. Click thẻ địa điểm [Hồ Chí Minh]</t>
        </is>
      </c>
      <c r="E12" s="6" t="inlineStr">
        <is>
          <t>- Địa điểm: Hồ Chí Minh</t>
        </is>
      </c>
      <c r="F12" s="6" t="inlineStr">
        <is>
          <t>2. Hệ thống chuyển sang trang danh sách phòng /rooms/ho-chi-minh.
Hiển thị tiêu đề "Chỗ ở tại khu vực ..." và danh sách phòng.</t>
        </is>
      </c>
      <c r="G12" s="6" t="inlineStr">
        <is>
          <t>Pass</t>
        </is>
      </c>
      <c r="H12" s="6" t="n"/>
      <c r="I12" s="6" t="inlineStr">
        <is>
          <t>Chromium (Playwright)</t>
        </is>
      </c>
      <c r="J12" s="6" t="n"/>
      <c r="K12" s="6" t="n"/>
      <c r="L12" s="6" t="inlineStr">
        <is>
          <t>Automated (gián tiếp): bước mở danh sách phòng trong rooms, roomDetail, booking, logout specs.</t>
        </is>
      </c>
    </row>
    <row r="13">
      <c r="A13" s="6" t="inlineStr">
        <is>
          <t>TC_13</t>
        </is>
      </c>
      <c r="B13" s="6" t="inlineStr">
        <is>
          <t>Kiểm tra tìm kiếm phòng theo khoảng ngày nhận phòng - trả phòng hợp lệ.</t>
        </is>
      </c>
      <c r="C13" s="6" t="n"/>
      <c r="D13" s="6" t="inlineStr">
        <is>
          <t>1. Truy cập https://demo5.cybersoft.edu.vn/
2. Click ô chọn ngày
3. Chọn ngày nhận phòng
4. Chọn ngày trả phòng
5. Click button Tìm kiếm</t>
        </is>
      </c>
      <c r="E13" s="6" t="inlineStr">
        <is>
          <t>- Ngày nhận phòng: (hôm nay + 30 ngày)
- Ngày trả phòng: (hôm nay + 37 ngày)</t>
        </is>
      </c>
      <c r="F13" s="6" t="inlineStr">
        <is>
          <t>5. Hệ thống chuyển sang trang danh sách phòng (URL chứa "rooms").</t>
        </is>
      </c>
      <c r="G13" s="6" t="inlineStr">
        <is>
          <t>Pass</t>
        </is>
      </c>
      <c r="H13" s="6" t="inlineStr">
        <is>
          <t>5. Chuyển sang /rooms, ô ngày hiển thị 28/10/2026 - 30/10/2026, danh sách hiển thị 147 chỗ ở.</t>
        </is>
      </c>
      <c r="I13" s="6" t="inlineStr">
        <is>
          <t>Chromium (chạy thủ công bằng script)</t>
        </is>
      </c>
      <c r="J13" s="6" t="n"/>
      <c r="K13" s="6" t="n"/>
      <c r="L13" s="6" t="inlineStr">
        <is>
          <t>Manual.</t>
        </is>
      </c>
    </row>
    <row r="14">
      <c r="A14" s="6" t="inlineStr">
        <is>
          <t>TC_14</t>
        </is>
      </c>
      <c r="B14" s="6" t="inlineStr">
        <is>
          <t>Kiểm tra tìm kiếm phòng theo số lượng khách.</t>
        </is>
      </c>
      <c r="C14" s="6" t="n"/>
      <c r="D14" s="6" t="inlineStr">
        <is>
          <t>1. Truy cập https://demo5.cybersoft.edu.vn/
2. Click ô [Thêm khách]
3. Tăng số khách bằng nút [+] đến 5 khách
4. Click button Tìm kiếm</t>
        </is>
      </c>
      <c r="E14" s="6" t="inlineStr">
        <is>
          <t>- Số khách: 5</t>
        </is>
      </c>
      <c r="F14" s="6" t="inlineStr">
        <is>
          <t>4. Hệ thống chuyển sang trang danh sách phòng (URL chứa "rooms").</t>
        </is>
      </c>
      <c r="G14" s="6" t="inlineStr">
        <is>
          <t>Pass</t>
        </is>
      </c>
      <c r="H14" s="6" t="inlineStr">
        <is>
          <t>4. Chuyển sang /rooms, danh sách lọc theo 5 khách hiển thị 5 chỗ ở.</t>
        </is>
      </c>
      <c r="I14" s="6" t="inlineStr">
        <is>
          <t>Chromium (chạy thủ công bằng script)</t>
        </is>
      </c>
      <c r="J14" s="6" t="n"/>
      <c r="K14" s="6" t="n"/>
      <c r="L14" s="6" t="inlineStr">
        <is>
          <t>Manual.</t>
        </is>
      </c>
    </row>
    <row r="15">
      <c r="A15" s="6" t="n"/>
      <c r="B15" s="6" t="n"/>
      <c r="C15" s="6" t="n"/>
      <c r="D15" s="6" t="n"/>
      <c r="E15" s="6" t="n"/>
      <c r="F15" s="6" t="n"/>
      <c r="G15" s="6" t="n"/>
      <c r="H15" s="6" t="n"/>
      <c r="I15" s="6" t="n"/>
      <c r="J15" s="6" t="n"/>
      <c r="K15" s="6" t="n"/>
      <c r="L15" s="6" t="n"/>
    </row>
    <row r="16">
      <c r="A16" s="6" t="n"/>
      <c r="B16" s="6" t="n"/>
      <c r="C16" s="6" t="n"/>
      <c r="D16" s="6" t="n"/>
      <c r="E16" s="6" t="n"/>
      <c r="F16" s="6" t="n"/>
      <c r="G16" s="6" t="n"/>
      <c r="H16" s="6" t="n"/>
      <c r="I16" s="6" t="n"/>
      <c r="J16" s="6" t="n"/>
      <c r="K16" s="6" t="n"/>
      <c r="L16" s="6" t="n"/>
    </row>
    <row r="17">
      <c r="A17" s="6" t="n"/>
      <c r="B17" s="6" t="n"/>
      <c r="C17" s="6" t="n"/>
      <c r="D17" s="6" t="n"/>
      <c r="E17" s="6" t="n"/>
      <c r="F17" s="6" t="n"/>
      <c r="G17" s="6" t="n"/>
      <c r="H17" s="6" t="n"/>
      <c r="I17" s="6" t="n"/>
      <c r="J17" s="6" t="n"/>
      <c r="K17" s="6" t="n"/>
      <c r="L17" s="6" t="n"/>
    </row>
    <row r="18">
      <c r="A18" s="6" t="n"/>
      <c r="B18" s="6" t="n"/>
      <c r="C18" s="6" t="n"/>
      <c r="D18" s="6" t="n"/>
      <c r="E18" s="6" t="n"/>
      <c r="F18" s="6" t="n"/>
      <c r="G18" s="6" t="n"/>
      <c r="H18" s="6" t="n"/>
      <c r="I18" s="6" t="n"/>
      <c r="J18" s="6" t="n"/>
      <c r="K18" s="6" t="n"/>
      <c r="L18" s="6" t="n"/>
    </row>
    <row r="19">
      <c r="A19" s="6" t="n"/>
      <c r="B19" s="6" t="n"/>
      <c r="C19" s="6" t="n"/>
      <c r="D19" s="6" t="n"/>
      <c r="E19" s="6" t="n"/>
      <c r="F19" s="6" t="n"/>
      <c r="G19" s="6" t="n"/>
      <c r="H19" s="6" t="n"/>
      <c r="I19" s="6" t="n"/>
      <c r="J19" s="6" t="n"/>
      <c r="K19" s="6" t="n"/>
      <c r="L19" s="6" t="n"/>
    </row>
  </sheetData>
  <mergeCells count="1">
    <mergeCell ref="A1:H1"/>
  </mergeCells>
  <dataValidations count="2">
    <dataValidation sqref="G11:G50" showDropDown="0" showInputMessage="0" showErrorMessage="0" allowBlank="1" type="list">
      <formula1>"Pass,Fail,Pending,N/A,Blocked"</formula1>
    </dataValidation>
    <dataValidation sqref="J11:J50" showDropDown="0" showInputMessage="0" showErrorMessage="0" allowBlank="1" type="list">
      <formula1>"High,Medium,Low"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9"/>
  <sheetViews>
    <sheetView workbookViewId="0">
      <pane ySplit="10" topLeftCell="A11" activePane="bottomLeft" state="frozen"/>
      <selection pane="bottomLeft" activeCell="A1" sqref="A1"/>
    </sheetView>
  </sheetViews>
  <sheetFormatPr baseColWidth="8" defaultRowHeight="15"/>
  <cols>
    <col width="14" customWidth="1" min="1" max="1"/>
    <col width="36" customWidth="1" min="2" max="2"/>
    <col width="30" customWidth="1" min="3" max="3"/>
    <col width="52" customWidth="1" min="4" max="4"/>
    <col width="34" customWidth="1" min="5" max="5"/>
    <col width="42" customWidth="1" min="6" max="6"/>
    <col width="16" customWidth="1" min="7" max="7"/>
    <col width="30" customWidth="1" min="8" max="8"/>
    <col width="18" customWidth="1" min="9" max="9"/>
    <col width="14" customWidth="1" min="10" max="10"/>
    <col width="20" customWidth="1" min="11" max="11"/>
    <col width="38" customWidth="1" min="12" max="12"/>
  </cols>
  <sheetData>
    <row r="1">
      <c r="A1" s="1" t="inlineStr">
        <is>
          <t>TEST CASE</t>
        </is>
      </c>
    </row>
    <row r="3">
      <c r="B3" s="12" t="inlineStr">
        <is>
          <t>Screen's name / Function's name</t>
        </is>
      </c>
      <c r="C3" s="6" t="inlineStr">
        <is>
          <t>Room List &amp; Room Detail</t>
        </is>
      </c>
    </row>
    <row r="4">
      <c r="B4" s="12" t="inlineStr">
        <is>
          <t>Testcase Author</t>
        </is>
      </c>
      <c r="C4" s="6" t="inlineStr">
        <is>
          <t>Hứa Vinh Thắng</t>
        </is>
      </c>
    </row>
    <row r="10">
      <c r="A10" s="13" t="inlineStr">
        <is>
          <t>Test Case ID</t>
        </is>
      </c>
      <c r="B10" s="13" t="inlineStr">
        <is>
          <t>Title</t>
        </is>
      </c>
      <c r="C10" s="13" t="inlineStr">
        <is>
          <t>Pre-Conditions</t>
        </is>
      </c>
      <c r="D10" s="13" t="inlineStr">
        <is>
          <t>Test Steps</t>
        </is>
      </c>
      <c r="E10" s="13" t="inlineStr">
        <is>
          <t>Test Data</t>
        </is>
      </c>
      <c r="F10" s="13" t="inlineStr">
        <is>
          <t>Expected Results</t>
        </is>
      </c>
      <c r="G10" s="13" t="inlineStr">
        <is>
          <t>Execution Status</t>
        </is>
      </c>
      <c r="H10" s="13" t="inlineStr">
        <is>
          <t>Actual Results</t>
        </is>
      </c>
      <c r="I10" s="13" t="inlineStr">
        <is>
          <t>Test Environment</t>
        </is>
      </c>
      <c r="J10" s="13" t="inlineStr">
        <is>
          <t>Bug Priority</t>
        </is>
      </c>
      <c r="K10" s="13" t="inlineStr">
        <is>
          <t>Attachments</t>
        </is>
      </c>
      <c r="L10" s="13" t="inlineStr">
        <is>
          <t>Notes</t>
        </is>
      </c>
    </row>
    <row r="11">
      <c r="A11" s="6" t="inlineStr">
        <is>
          <t>TC_15</t>
        </is>
      </c>
      <c r="B11" s="6" t="inlineStr">
        <is>
          <t>Kiểm tra thẻ phòng hiển thị đầy đủ thông tin ở trang danh sách phòng.</t>
        </is>
      </c>
      <c r="C11" s="6" t="n"/>
      <c r="D11" s="6" t="inlineStr">
        <is>
          <t>1. Truy cập https://demo5.cybersoft.edu.vn/
2. Click thẻ địa điểm [Hồ Chí Minh]
3. Quan sát các thẻ phòng</t>
        </is>
      </c>
      <c r="E11" s="6" t="n"/>
      <c r="F11" s="6" t="inlineStr">
        <is>
          <t>3. Mỗi thẻ phòng hiển thị đầy đủ: hình ảnh, tên phòng, số khách tối đa, giá mỗi đêm.</t>
        </is>
      </c>
      <c r="G11" s="6" t="inlineStr">
        <is>
          <t>Pass</t>
        </is>
      </c>
      <c r="H11" s="6" t="n"/>
      <c r="I11" s="6" t="inlineStr">
        <is>
          <t>Chromium (Playwright)</t>
        </is>
      </c>
      <c r="J11" s="6" t="n"/>
      <c r="K11" s="6" t="n"/>
      <c r="L11" s="6" t="inlineStr">
        <is>
          <t>Automated: tests/ui/rooms.spec.ts › room cards show image, name, capacity and price</t>
        </is>
      </c>
    </row>
    <row r="12">
      <c r="A12" s="6" t="inlineStr">
        <is>
          <t>TC_16</t>
        </is>
      </c>
      <c r="B12" s="6" t="inlineStr">
        <is>
          <t>Kiểm tra mở trang chi tiết phòng khi click vào thẻ phòng.</t>
        </is>
      </c>
      <c r="C12" s="6" t="n"/>
      <c r="D12" s="6" t="inlineStr">
        <is>
          <t>1. Truy cập https://demo5.cybersoft.edu.vn/
2. Click thẻ địa điểm [Hồ Chí Minh]
3. Click thẻ phòng đầu tiên</t>
        </is>
      </c>
      <c r="E12" s="6" t="n"/>
      <c r="F12" s="6" t="inlineStr">
        <is>
          <t>3. Hệ thống chuyển sang trang chi tiết phòng, đường dẫn khớp với liên kết của thẻ phòng đã chọn.</t>
        </is>
      </c>
      <c r="G12" s="6" t="inlineStr">
        <is>
          <t>Pass</t>
        </is>
      </c>
      <c r="H12" s="6" t="n"/>
      <c r="I12" s="6" t="inlineStr">
        <is>
          <t>Chromium (Playwright)</t>
        </is>
      </c>
      <c r="J12" s="6" t="n"/>
      <c r="K12" s="6" t="n"/>
      <c r="L12" s="6" t="inlineStr">
        <is>
          <t>Automated: tests/ui/roomDetail.spec.ts › TC_11: open the room detail from a room card</t>
        </is>
      </c>
    </row>
    <row r="13">
      <c r="A13" s="6" t="inlineStr">
        <is>
          <t>TC_17</t>
        </is>
      </c>
      <c r="B13" s="6" t="inlineStr">
        <is>
          <t>Kiểm tra trang chi tiết phòng hiển thị đầy đủ thông tin khi chưa đăng nhập.</t>
        </is>
      </c>
      <c r="C13" s="6" t="inlineStr">
        <is>
          <t>Người dùng chưa đăng nhập.</t>
        </is>
      </c>
      <c r="D13" s="6" t="inlineStr">
        <is>
          <t>1. Truy cập https://demo5.cybersoft.edu.vn/
2. Click thẻ địa điểm [Hồ Chí Minh]
3. Click thẻ phòng đầu tiên
4. Quan sát trang chi tiết phòng</t>
        </is>
      </c>
      <c r="E13" s="6" t="n"/>
      <c r="F13" s="6" t="inlineStr">
        <is>
          <t>4. Hiển thị đầy đủ: tên phòng, vị trí, hình ảnh, số khách tối đa, form đặt phòng, danh sách bình luận.
Hiển thị thông báo "Cần đăng nhập để bình luận" thay cho form bình luận.</t>
        </is>
      </c>
      <c r="G13" s="6" t="inlineStr">
        <is>
          <t>Pass</t>
        </is>
      </c>
      <c r="H13" s="6" t="n"/>
      <c r="I13" s="6" t="inlineStr">
        <is>
          <t>Chromium (Playwright)</t>
        </is>
      </c>
      <c r="J13" s="6" t="n"/>
      <c r="K13" s="6" t="n"/>
      <c r="L13" s="6" t="inlineStr">
        <is>
          <t>Automated: tests/ui/roomDetail.spec.ts › room detail shows all information for a guest</t>
        </is>
      </c>
    </row>
    <row r="14">
      <c r="A14" s="6" t="inlineStr">
        <is>
          <t>TC_18</t>
        </is>
      </c>
      <c r="B14" s="6" t="inlineStr">
        <is>
          <t>Kiểm tra gửi bình luận và đánh giá khi đã đăng nhập.</t>
        </is>
      </c>
      <c r="C14" s="6" t="inlineStr">
        <is>
          <t>Người dùng đã đăng nhập thành công bằng tài khoản hợp lệ.</t>
        </is>
      </c>
      <c r="D14" s="6" t="inlineStr">
        <is>
          <t>1. Truy cập https://demo5.cybersoft.edu.vn/
2. Đăng nhập bằng tài khoản hợp lệ
3. Click thẻ địa điểm [Hồ Chí Minh] trên trang chủ
4. Click thẻ phòng đầu tiên trong danh sách
5. Cuộn đến mục Bình luận
6. Chọn số sao đánh giá
7. Nhập nội dung vào ô bình luận
8. Click button gửi bình luận</t>
        </is>
      </c>
      <c r="E14" s="6" t="inlineStr">
        <is>
          <t>- Email: test16-nhom6@gmail.com
- Password: test16-nhom6
- Số sao: 5
- Nội dung: Good service</t>
        </is>
      </c>
      <c r="F14" s="6" t="inlineStr">
        <is>
          <t>8. Bình luận được lưu và hiển thị trong danh sách bình luận của phòng.</t>
        </is>
      </c>
      <c r="G14" s="6" t="inlineStr">
        <is>
          <t>Pass</t>
        </is>
      </c>
      <c r="H14" s="6" t="inlineStr">
        <is>
          <t>8. Bình luận và số sao được lưu, không gặp lỗi (tester thực hiện thủ công).</t>
        </is>
      </c>
      <c r="I14" s="6" t="inlineStr">
        <is>
          <t>Chrome (thủ công)</t>
        </is>
      </c>
      <c r="J14" s="6" t="n"/>
      <c r="K14" s="6" t="n"/>
      <c r="L14" s="6" t="inlineStr">
        <is>
          <t>Manual.</t>
        </is>
      </c>
    </row>
    <row r="15">
      <c r="A15" s="6" t="n"/>
      <c r="B15" s="6" t="n"/>
      <c r="C15" s="6" t="n"/>
      <c r="D15" s="6" t="n"/>
      <c r="E15" s="6" t="n"/>
      <c r="F15" s="6" t="n"/>
      <c r="G15" s="6" t="n"/>
      <c r="H15" s="6" t="n"/>
      <c r="I15" s="6" t="n"/>
      <c r="J15" s="6" t="n"/>
      <c r="K15" s="6" t="n"/>
      <c r="L15" s="6" t="n"/>
    </row>
    <row r="16">
      <c r="A16" s="6" t="n"/>
      <c r="B16" s="6" t="n"/>
      <c r="C16" s="6" t="n"/>
      <c r="D16" s="6" t="n"/>
      <c r="E16" s="6" t="n"/>
      <c r="F16" s="6" t="n"/>
      <c r="G16" s="6" t="n"/>
      <c r="H16" s="6" t="n"/>
      <c r="I16" s="6" t="n"/>
      <c r="J16" s="6" t="n"/>
      <c r="K16" s="6" t="n"/>
      <c r="L16" s="6" t="n"/>
    </row>
    <row r="17">
      <c r="A17" s="6" t="n"/>
      <c r="B17" s="6" t="n"/>
      <c r="C17" s="6" t="n"/>
      <c r="D17" s="6" t="n"/>
      <c r="E17" s="6" t="n"/>
      <c r="F17" s="6" t="n"/>
      <c r="G17" s="6" t="n"/>
      <c r="H17" s="6" t="n"/>
      <c r="I17" s="6" t="n"/>
      <c r="J17" s="6" t="n"/>
      <c r="K17" s="6" t="n"/>
      <c r="L17" s="6" t="n"/>
    </row>
    <row r="18">
      <c r="A18" s="6" t="n"/>
      <c r="B18" s="6" t="n"/>
      <c r="C18" s="6" t="n"/>
      <c r="D18" s="6" t="n"/>
      <c r="E18" s="6" t="n"/>
      <c r="F18" s="6" t="n"/>
      <c r="G18" s="6" t="n"/>
      <c r="H18" s="6" t="n"/>
      <c r="I18" s="6" t="n"/>
      <c r="J18" s="6" t="n"/>
      <c r="K18" s="6" t="n"/>
      <c r="L18" s="6" t="n"/>
    </row>
    <row r="19">
      <c r="A19" s="6" t="n"/>
      <c r="B19" s="6" t="n"/>
      <c r="C19" s="6" t="n"/>
      <c r="D19" s="6" t="n"/>
      <c r="E19" s="6" t="n"/>
      <c r="F19" s="6" t="n"/>
      <c r="G19" s="6" t="n"/>
      <c r="H19" s="6" t="n"/>
      <c r="I19" s="6" t="n"/>
      <c r="J19" s="6" t="n"/>
      <c r="K19" s="6" t="n"/>
      <c r="L19" s="6" t="n"/>
    </row>
  </sheetData>
  <mergeCells count="1">
    <mergeCell ref="A1:H1"/>
  </mergeCells>
  <dataValidations count="2">
    <dataValidation sqref="G11:G50" showDropDown="0" showInputMessage="0" showErrorMessage="0" allowBlank="1" type="list">
      <formula1>"Pass,Fail,Pending,N/A,Blocked"</formula1>
    </dataValidation>
    <dataValidation sqref="J11:J50" showDropDown="0" showInputMessage="0" showErrorMessage="0" allowBlank="1" type="list">
      <formula1>"High,Medium,Low"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2"/>
  <sheetViews>
    <sheetView workbookViewId="0">
      <pane ySplit="10" topLeftCell="A11" activePane="bottomLeft" state="frozen"/>
      <selection pane="bottomLeft" activeCell="A1" sqref="A1"/>
    </sheetView>
  </sheetViews>
  <sheetFormatPr baseColWidth="8" defaultRowHeight="15"/>
  <cols>
    <col width="14" customWidth="1" min="1" max="1"/>
    <col width="36" customWidth="1" min="2" max="2"/>
    <col width="30" customWidth="1" min="3" max="3"/>
    <col width="52" customWidth="1" min="4" max="4"/>
    <col width="34" customWidth="1" min="5" max="5"/>
    <col width="42" customWidth="1" min="6" max="6"/>
    <col width="16" customWidth="1" min="7" max="7"/>
    <col width="30" customWidth="1" min="8" max="8"/>
    <col width="18" customWidth="1" min="9" max="9"/>
    <col width="14" customWidth="1" min="10" max="10"/>
    <col width="20" customWidth="1" min="11" max="11"/>
    <col width="38" customWidth="1" min="12" max="12"/>
  </cols>
  <sheetData>
    <row r="1">
      <c r="A1" s="1" t="inlineStr">
        <is>
          <t>TEST CASE</t>
        </is>
      </c>
    </row>
    <row r="3">
      <c r="B3" s="12" t="inlineStr">
        <is>
          <t>Screen's name / Function's name</t>
        </is>
      </c>
      <c r="C3" s="6" t="inlineStr">
        <is>
          <t>Booking</t>
        </is>
      </c>
    </row>
    <row r="4">
      <c r="B4" s="12" t="inlineStr">
        <is>
          <t>Testcase Author</t>
        </is>
      </c>
      <c r="C4" s="6" t="inlineStr">
        <is>
          <t>Mohamed Hary</t>
        </is>
      </c>
    </row>
    <row r="10">
      <c r="A10" s="13" t="inlineStr">
        <is>
          <t>Test Case ID</t>
        </is>
      </c>
      <c r="B10" s="13" t="inlineStr">
        <is>
          <t>Title</t>
        </is>
      </c>
      <c r="C10" s="13" t="inlineStr">
        <is>
          <t>Pre-Conditions</t>
        </is>
      </c>
      <c r="D10" s="13" t="inlineStr">
        <is>
          <t>Test Steps</t>
        </is>
      </c>
      <c r="E10" s="13" t="inlineStr">
        <is>
          <t>Test Data</t>
        </is>
      </c>
      <c r="F10" s="13" t="inlineStr">
        <is>
          <t>Expected Results</t>
        </is>
      </c>
      <c r="G10" s="13" t="inlineStr">
        <is>
          <t>Execution Status</t>
        </is>
      </c>
      <c r="H10" s="13" t="inlineStr">
        <is>
          <t>Actual Results</t>
        </is>
      </c>
      <c r="I10" s="13" t="inlineStr">
        <is>
          <t>Test Environment</t>
        </is>
      </c>
      <c r="J10" s="13" t="inlineStr">
        <is>
          <t>Bug Priority</t>
        </is>
      </c>
      <c r="K10" s="13" t="inlineStr">
        <is>
          <t>Attachments</t>
        </is>
      </c>
      <c r="L10" s="13" t="inlineStr">
        <is>
          <t>Notes</t>
        </is>
      </c>
    </row>
    <row r="11">
      <c r="A11" s="6" t="inlineStr">
        <is>
          <t>TC_19</t>
        </is>
      </c>
      <c r="B11" s="6" t="inlineStr">
        <is>
          <t>Kiểm tra đặt phòng thành công khi đã đăng nhập.</t>
        </is>
      </c>
      <c r="C11" s="6" t="inlineStr">
        <is>
          <t>Người dùng đã đăng nhập thành công bằng tài khoản hợp lệ.</t>
        </is>
      </c>
      <c r="D11" s="6" t="inlineStr">
        <is>
          <t>1. Truy cập https://demo5.cybersoft.edu.vn/
2. Đăng nhập bằng tài khoản hợp lệ
3. Click thẻ địa điểm [Hồ Chí Minh] trên trang chủ
4. Click thẻ phòng đầu tiên trong danh sách
5. Click ô [Nhận phòng] để mở lịch
6. Chọn ngày nhận phòng
7. Chọn ngày trả phòng
8. Click [Close] để đóng lịch
9. Tăng số khách lên 2
10. Click button [Đặt phòng]
11. Click button [Xác nhận]</t>
        </is>
      </c>
      <c r="E11" s="6" t="inlineStr">
        <is>
          <t>- Email: test16-nhom6@gmail.com
- Password: test16-nhom6
- Ngày nhận phòng: hôm nay + 30 ngày
- Ngày trả phòng: hôm nay + 37 ngày
- Số khách: 2</t>
        </is>
      </c>
      <c r="F11" s="6" t="inlineStr">
        <is>
          <t>9. Đặt phòng thành công.
Xuất hiện thông báo "Thêm mới thành công!"</t>
        </is>
      </c>
      <c r="G11" s="6" t="inlineStr">
        <is>
          <t>Pass</t>
        </is>
      </c>
      <c r="H11" s="6" t="n"/>
      <c r="I11" s="6" t="inlineStr">
        <is>
          <t>Chromium (Playwright)</t>
        </is>
      </c>
      <c r="J11" s="6" t="n"/>
      <c r="K11" s="6" t="n"/>
      <c r="L11" s="6" t="inlineStr">
        <is>
          <t>Automated: tests/ui/booking.spec.ts › booking succeeds for a logged in user</t>
        </is>
      </c>
    </row>
    <row r="12">
      <c r="A12" s="6" t="inlineStr">
        <is>
          <t>TC_20</t>
        </is>
      </c>
      <c r="B12" s="6" t="inlineStr">
        <is>
          <t>Kiểm tra đặt phòng thất bại khi chưa đăng nhập.</t>
        </is>
      </c>
      <c r="C12" s="6" t="inlineStr">
        <is>
          <t>Người dùng chưa đăng nhập.</t>
        </is>
      </c>
      <c r="D12" s="6" t="inlineStr">
        <is>
          <t>1. Truy cập https://demo5.cybersoft.edu.vn/
2. Click thẻ địa điểm [Hồ Chí Minh] trên trang chủ
3. Click thẻ phòng đầu tiên trong danh sách
4. Chọn ngày nhận phòng và trả phòng
5. Tăng số khách lên 2
6. Click button [Đặt phòng]</t>
        </is>
      </c>
      <c r="E12" s="6" t="inlineStr">
        <is>
          <t>- Ngày nhận phòng: hôm nay + 30 ngày
- Ngày trả phòng: hôm nay + 37 ngày
- Số khách: 2</t>
        </is>
      </c>
      <c r="F12" s="6" t="inlineStr">
        <is>
          <t>6. Không đặt được phòng.
Xuất hiện cảnh báo "Vui lòng đăng nhập để tiếp tục đặt phòng."</t>
        </is>
      </c>
      <c r="G12" s="6" t="inlineStr">
        <is>
          <t>Pass</t>
        </is>
      </c>
      <c r="H12" s="6" t="n"/>
      <c r="I12" s="6" t="inlineStr">
        <is>
          <t>Chromium (Playwright)</t>
        </is>
      </c>
      <c r="J12" s="6" t="n"/>
      <c r="K12" s="6" t="n"/>
      <c r="L12" s="6" t="inlineStr">
        <is>
          <t>Automated: tests/ui/booking.spec.ts › booking is rejected for a guest who is not logged in</t>
        </is>
      </c>
    </row>
    <row r="13">
      <c r="A13" s="6" t="inlineStr">
        <is>
          <t>TC_21</t>
        </is>
      </c>
      <c r="B13" s="6" t="inlineStr">
        <is>
          <t>Kiểm tra đặt phòng thất bại khi ngày nhận phòng trùng ngày trả phòng.</t>
        </is>
      </c>
      <c r="C13" s="6" t="inlineStr">
        <is>
          <t>Người dùng đã đăng nhập thành công bằng tài khoản hợp lệ.</t>
        </is>
      </c>
      <c r="D13" s="6" t="inlineStr">
        <is>
          <t>1. Truy cập https://demo5.cybersoft.edu.vn/
2. Đăng nhập bằng tài khoản hợp lệ
3. Click thẻ địa điểm [Hồ Chí Minh] trên trang chủ
4. Click thẻ phòng đầu tiên trong danh sách
5. Click ô [Nhận phòng] để mở lịch
6. Chọn cùng một ngày cho nhận phòng và trả phòng
7. Click [Close] để đóng lịch
8. Click button [Đặt phòng]
9. Click button [Xác nhận]</t>
        </is>
      </c>
      <c r="E13" s="6" t="inlineStr">
        <is>
          <t>- Email: test16-nhom6@gmail.com
- Password: test16-nhom6
- Ngày nhận phòng: hôm nay + 30 ngày
- Ngày trả phòng: hôm nay + 30 ngày</t>
        </is>
      </c>
      <c r="F13" s="6" t="inlineStr">
        <is>
          <t>8. Hệ thống không cho đặt phòng với ngày không hợp lệ.
Không xuất hiện thông báo "Thêm mới thành công!"</t>
        </is>
      </c>
      <c r="G13" s="6" t="inlineStr">
        <is>
          <t>Pass</t>
        </is>
      </c>
      <c r="H13" s="6" t="n"/>
      <c r="I13" s="6" t="inlineStr">
        <is>
          <t>Chromium (Playwright)</t>
        </is>
      </c>
      <c r="J13" s="6" t="n"/>
      <c r="K13" s="6" t="n"/>
      <c r="L13" s="6" t="inlineStr">
        <is>
          <t>Automated: tests/ui/booking.spec.ts › booking is rejected when check-in and check-out are the same day</t>
        </is>
      </c>
    </row>
    <row r="14">
      <c r="A14" s="6" t="inlineStr">
        <is>
          <t>TC_22</t>
        </is>
      </c>
      <c r="B14" s="6" t="inlineStr">
        <is>
          <t>Kiểm tra giá mỗi đêm ở thẻ phòng và trang chi tiết phòng giống nhau.</t>
        </is>
      </c>
      <c r="C14" s="6" t="n"/>
      <c r="D14" s="6" t="inlineStr">
        <is>
          <t>1. Truy cập https://demo5.cybersoft.edu.vn/
2. Click thẻ địa điểm [Hồ Chí Minh]
3. Ghi nhận giá mỗi đêm của thẻ phòng đầu tiên
4. Click thẻ phòng đầu tiên
5. Ghi nhận giá mỗi đêm trên trang chi tiết</t>
        </is>
      </c>
      <c r="E14" s="6" t="n"/>
      <c r="F14" s="6" t="inlineStr">
        <is>
          <t>5. Giá mỗi đêm trên trang chi tiết bằng giá trên thẻ phòng.</t>
        </is>
      </c>
      <c r="G14" s="6" t="inlineStr">
        <is>
          <t>Pass</t>
        </is>
      </c>
      <c r="H14" s="6" t="n"/>
      <c r="I14" s="6" t="inlineStr">
        <is>
          <t>Chromium (Playwright)</t>
        </is>
      </c>
      <c r="J14" s="6" t="n"/>
      <c r="K14" s="6" t="n"/>
      <c r="L14" s="6" t="inlineStr">
        <is>
          <t>Automated: tests/ui/booking.spec.ts › price per night is the same on the room card and the detail page</t>
        </is>
      </c>
    </row>
    <row r="15">
      <c r="A15" s="6" t="inlineStr">
        <is>
          <t>TC_23</t>
        </is>
      </c>
      <c r="B15" s="6" t="inlineStr">
        <is>
          <t>Kiểm tra tổng tiền được tính đúng theo số đêm và phí dọn dẹp.</t>
        </is>
      </c>
      <c r="C15" s="6" t="n"/>
      <c r="D15" s="6" t="inlineStr">
        <is>
          <t>1. Truy cập https://demo5.cybersoft.edu.vn/
2. Click thẻ địa điểm [Hồ Chí Minh]
3. Click thẻ phòng đầu tiên
4. Click ô [Nhận phòng] để mở lịch
5. Chọn ngày nhận phòng và trả phòng
6. Click [Close] để đóng lịch
7. Quan sát mục [Total before taxes]</t>
        </is>
      </c>
      <c r="E15" s="6" t="inlineStr">
        <is>
          <t>- Ngày nhận phòng: hôm nay + 30 ngày
- Ngày trả phòng: hôm nay + 37 ngày</t>
        </is>
      </c>
      <c r="F15" s="6" t="inlineStr">
        <is>
          <t>7. Tổng tiền = giá mỗi đêm x số đêm + phí dọn dẹp (Cleaning fee).</t>
        </is>
      </c>
      <c r="G15" s="6" t="inlineStr">
        <is>
          <t>Pass</t>
        </is>
      </c>
      <c r="H15" s="6" t="n"/>
      <c r="I15" s="6" t="inlineStr">
        <is>
          <t>Chromium (Playwright)</t>
        </is>
      </c>
      <c r="J15" s="6" t="n"/>
      <c r="K15" s="6" t="n"/>
      <c r="L15" s="6" t="inlineStr">
        <is>
          <t>Automated: tests/ui/booking.spec.ts › total price is calculated correctly</t>
        </is>
      </c>
    </row>
    <row r="16">
      <c r="A16" s="6" t="inlineStr">
        <is>
          <t>TC_24</t>
        </is>
      </c>
      <c r="B16" s="6" t="inlineStr">
        <is>
          <t>Kiểm tra số khách tối thiểu khi giảm số khách.</t>
        </is>
      </c>
      <c r="C16" s="6" t="n"/>
      <c r="D16" s="6" t="inlineStr">
        <is>
          <t>1. Truy cập https://demo5.cybersoft.edu.vn/
2. Click thẻ địa điểm [Hồ Chí Minh]
3. Click thẻ phòng đầu tiên
4. Click nút [-] khi số khách đang là 1</t>
        </is>
      </c>
      <c r="E16" s="6" t="inlineStr">
        <is>
          <t>- Số khách: 1</t>
        </is>
      </c>
      <c r="F16" s="6" t="inlineStr">
        <is>
          <t>4. Số khách không giảm dưới 1.
Xuất hiện thông báo "Phải có tối thiểu 1 khách!"</t>
        </is>
      </c>
      <c r="G16" s="6" t="inlineStr">
        <is>
          <t>Pass</t>
        </is>
      </c>
      <c r="H16" s="6" t="inlineStr">
        <is>
          <t>4. Số khách giữ ở 1, xuất hiện thông báo "Phải có tối thiểu 1 khách!"</t>
        </is>
      </c>
      <c r="I16" s="6" t="inlineStr">
        <is>
          <t>Chromium (chạy thủ công bằng script)</t>
        </is>
      </c>
      <c r="J16" s="6" t="n"/>
      <c r="K16" s="6" t="n"/>
      <c r="L16" s="6" t="inlineStr">
        <is>
          <t>Manual.</t>
        </is>
      </c>
    </row>
    <row r="17">
      <c r="A17" s="6" t="inlineStr">
        <is>
          <t>TC_25</t>
        </is>
      </c>
      <c r="B17" s="6" t="inlineStr">
        <is>
          <t>Kiểm tra số khách không vượt quá số khách tối đa của phòng.</t>
        </is>
      </c>
      <c r="C17" s="6" t="n"/>
      <c r="D17" s="6" t="inlineStr">
        <is>
          <t>1. Truy cập https://demo5.cybersoft.edu.vn/
2. Click thẻ địa điểm [Hồ Chí Minh]
3. Click thẻ phòng đầu tiên
4. Click nút [+] liên tục đến khi số khách không tăng nữa</t>
        </is>
      </c>
      <c r="E17" s="6" t="n"/>
      <c r="F17" s="6" t="inlineStr">
        <is>
          <t>4. Số khách dừng ở số khách tối đa của phòng, không tăng quá giá trị này.</t>
        </is>
      </c>
      <c r="G17" s="6" t="inlineStr">
        <is>
          <t>Pass</t>
        </is>
      </c>
      <c r="H17" s="6" t="inlineStr">
        <is>
          <t>4. Số khách tăng đến 3 (tối đa của phòng id 1) rồi dừng, xuất hiện thông báo "Đã đạt tới số khách tối đa!"</t>
        </is>
      </c>
      <c r="I17" s="6" t="inlineStr">
        <is>
          <t>Chromium (chạy thủ công bằng script)</t>
        </is>
      </c>
      <c r="J17" s="6" t="n"/>
      <c r="K17" s="6" t="n"/>
      <c r="L17" s="6" t="inlineStr">
        <is>
          <t>Manual.</t>
        </is>
      </c>
    </row>
    <row r="18">
      <c r="A18" s="6" t="n"/>
      <c r="B18" s="6" t="n"/>
      <c r="C18" s="6" t="n"/>
      <c r="D18" s="6" t="n"/>
      <c r="E18" s="6" t="n"/>
      <c r="F18" s="6" t="n"/>
      <c r="G18" s="6" t="n"/>
      <c r="H18" s="6" t="n"/>
      <c r="I18" s="6" t="n"/>
      <c r="J18" s="6" t="n"/>
      <c r="K18" s="6" t="n"/>
      <c r="L18" s="6" t="n"/>
    </row>
    <row r="19">
      <c r="A19" s="6" t="n"/>
      <c r="B19" s="6" t="n"/>
      <c r="C19" s="6" t="n"/>
      <c r="D19" s="6" t="n"/>
      <c r="E19" s="6" t="n"/>
      <c r="F19" s="6" t="n"/>
      <c r="G19" s="6" t="n"/>
      <c r="H19" s="6" t="n"/>
      <c r="I19" s="6" t="n"/>
      <c r="J19" s="6" t="n"/>
      <c r="K19" s="6" t="n"/>
      <c r="L19" s="6" t="n"/>
    </row>
    <row r="20">
      <c r="A20" s="6" t="n"/>
      <c r="B20" s="6" t="n"/>
      <c r="C20" s="6" t="n"/>
      <c r="D20" s="6" t="n"/>
      <c r="E20" s="6" t="n"/>
      <c r="F20" s="6" t="n"/>
      <c r="G20" s="6" t="n"/>
      <c r="H20" s="6" t="n"/>
      <c r="I20" s="6" t="n"/>
      <c r="J20" s="6" t="n"/>
      <c r="K20" s="6" t="n"/>
      <c r="L20" s="6" t="n"/>
    </row>
    <row r="21">
      <c r="A21" s="6" t="n"/>
      <c r="B21" s="6" t="n"/>
      <c r="C21" s="6" t="n"/>
      <c r="D21" s="6" t="n"/>
      <c r="E21" s="6" t="n"/>
      <c r="F21" s="6" t="n"/>
      <c r="G21" s="6" t="n"/>
      <c r="H21" s="6" t="n"/>
      <c r="I21" s="6" t="n"/>
      <c r="J21" s="6" t="n"/>
      <c r="K21" s="6" t="n"/>
      <c r="L21" s="6" t="n"/>
    </row>
    <row r="22">
      <c r="A22" s="6" t="n"/>
      <c r="B22" s="6" t="n"/>
      <c r="C22" s="6" t="n"/>
      <c r="D22" s="6" t="n"/>
      <c r="E22" s="6" t="n"/>
      <c r="F22" s="6" t="n"/>
      <c r="G22" s="6" t="n"/>
      <c r="H22" s="6" t="n"/>
      <c r="I22" s="6" t="n"/>
      <c r="J22" s="6" t="n"/>
      <c r="K22" s="6" t="n"/>
      <c r="L22" s="6" t="n"/>
    </row>
  </sheetData>
  <mergeCells count="1">
    <mergeCell ref="A1:H1"/>
  </mergeCells>
  <dataValidations count="2">
    <dataValidation sqref="G11:G50" showDropDown="0" showInputMessage="0" showErrorMessage="0" allowBlank="1" type="list">
      <formula1>"Pass,Fail,Pending,N/A,Blocked"</formula1>
    </dataValidation>
    <dataValidation sqref="J11:J50" showDropDown="0" showInputMessage="0" showErrorMessage="0" allowBlank="1" type="list">
      <formula1>"High,Medium,Low"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1"/>
  <sheetViews>
    <sheetView workbookViewId="0">
      <pane ySplit="10" topLeftCell="A11" activePane="bottomLeft" state="frozen"/>
      <selection pane="bottomLeft" activeCell="A1" sqref="A1"/>
    </sheetView>
  </sheetViews>
  <sheetFormatPr baseColWidth="8" defaultRowHeight="15"/>
  <cols>
    <col width="14" customWidth="1" min="1" max="1"/>
    <col width="36" customWidth="1" min="2" max="2"/>
    <col width="30" customWidth="1" min="3" max="3"/>
    <col width="52" customWidth="1" min="4" max="4"/>
    <col width="34" customWidth="1" min="5" max="5"/>
    <col width="42" customWidth="1" min="6" max="6"/>
    <col width="16" customWidth="1" min="7" max="7"/>
    <col width="30" customWidth="1" min="8" max="8"/>
    <col width="18" customWidth="1" min="9" max="9"/>
    <col width="14" customWidth="1" min="10" max="10"/>
    <col width="20" customWidth="1" min="11" max="11"/>
    <col width="38" customWidth="1" min="12" max="12"/>
  </cols>
  <sheetData>
    <row r="1">
      <c r="A1" s="1" t="inlineStr">
        <is>
          <t>TEST CASE</t>
        </is>
      </c>
    </row>
    <row r="3">
      <c r="B3" s="12" t="inlineStr">
        <is>
          <t>Screen's name / Function's name</t>
        </is>
      </c>
      <c r="C3" s="6" t="inlineStr">
        <is>
          <t>User Profile</t>
        </is>
      </c>
    </row>
    <row r="4">
      <c r="B4" s="12" t="inlineStr">
        <is>
          <t>Testcase Author</t>
        </is>
      </c>
      <c r="C4" s="6" t="inlineStr">
        <is>
          <t>Hứa Vinh Thắng</t>
        </is>
      </c>
    </row>
    <row r="10">
      <c r="A10" s="13" t="inlineStr">
        <is>
          <t>Test Case ID</t>
        </is>
      </c>
      <c r="B10" s="13" t="inlineStr">
        <is>
          <t>Title</t>
        </is>
      </c>
      <c r="C10" s="13" t="inlineStr">
        <is>
          <t>Pre-Conditions</t>
        </is>
      </c>
      <c r="D10" s="13" t="inlineStr">
        <is>
          <t>Test Steps</t>
        </is>
      </c>
      <c r="E10" s="13" t="inlineStr">
        <is>
          <t>Test Data</t>
        </is>
      </c>
      <c r="F10" s="13" t="inlineStr">
        <is>
          <t>Expected Results</t>
        </is>
      </c>
      <c r="G10" s="13" t="inlineStr">
        <is>
          <t>Execution Status</t>
        </is>
      </c>
      <c r="H10" s="13" t="inlineStr">
        <is>
          <t>Actual Results</t>
        </is>
      </c>
      <c r="I10" s="13" t="inlineStr">
        <is>
          <t>Test Environment</t>
        </is>
      </c>
      <c r="J10" s="13" t="inlineStr">
        <is>
          <t>Bug Priority</t>
        </is>
      </c>
      <c r="K10" s="13" t="inlineStr">
        <is>
          <t>Attachments</t>
        </is>
      </c>
      <c r="L10" s="13" t="inlineStr">
        <is>
          <t>Notes</t>
        </is>
      </c>
    </row>
    <row r="11">
      <c r="A11" s="6" t="inlineStr">
        <is>
          <t>TC_26</t>
        </is>
      </c>
      <c r="B11" s="6" t="inlineStr">
        <is>
          <t>Kiểm tra điều hướng đến trang thông tin cá nhân.</t>
        </is>
      </c>
      <c r="C11" s="6" t="inlineStr">
        <is>
          <t>Người dùng đã đăng nhập thành công bằng tài khoản hợp lệ.</t>
        </is>
      </c>
      <c r="D11" s="6" t="inlineStr">
        <is>
          <t>1. Truy cập https://demo5.cybersoft.edu.vn/
2. Đăng nhập bằng tài khoản hợp lệ
3. Click icon user ở header
4. Click [Dashboard]</t>
        </is>
      </c>
      <c r="E11" s="6" t="inlineStr">
        <is>
          <t>- Email: test16-nhom6@gmail.com
- Password: test16-nhom6</t>
        </is>
      </c>
      <c r="F11" s="6" t="inlineStr">
        <is>
          <t>4. Hệ thống chuyển sang trang Profile (URL chứa /info-user), hiển thị tiêu đề lịch sử "Phòng đã thuê".</t>
        </is>
      </c>
      <c r="G11" s="6" t="inlineStr">
        <is>
          <t>Pass</t>
        </is>
      </c>
      <c r="H11" s="6" t="n"/>
      <c r="I11" s="6" t="inlineStr">
        <is>
          <t>Chromium (Playwright)</t>
        </is>
      </c>
      <c r="J11" s="6" t="n"/>
      <c r="K11" s="6" t="n"/>
      <c r="L11" s="6" t="inlineStr">
        <is>
          <t>Automated: tests/ui/profile.spec.ts › view profile page</t>
        </is>
      </c>
    </row>
    <row r="12">
      <c r="A12" s="6" t="inlineStr">
        <is>
          <t>TC_27</t>
        </is>
      </c>
      <c r="B12" s="6" t="inlineStr">
        <is>
          <t>Kiểm tra cập nhật số điện thoại ở trang thông tin cá nhân.</t>
        </is>
      </c>
      <c r="C12" s="6" t="inlineStr">
        <is>
          <t>Người dùng đã đăng nhập thành công bằng tài khoản hợp lệ.
Đang ở trang Profile.</t>
        </is>
      </c>
      <c r="D12" s="6" t="inlineStr">
        <is>
          <t>1. Truy cập https://demo5.cybersoft.edu.vn/
2. Đăng nhập bằng tài khoản hợp lệ
3. Vào trang Profile (Dashboard)
4. Click icon chỉnh sửa để mở popup cập nhật
5. Xóa và nhập số điện thoại mới vào ô [Phone]
6. Click button [Cập nhật]</t>
        </is>
      </c>
      <c r="E12" s="6" t="inlineStr">
        <is>
          <t>- Email: test16-nhom6@gmail.com
- Password: test16-nhom6
- Phone: 0123456789</t>
        </is>
      </c>
      <c r="F12" s="6" t="inlineStr">
        <is>
          <t>5. Cập nhật thành công.
Xuất hiện thông báo "Cập nhật thông tin thành công"</t>
        </is>
      </c>
      <c r="G12" s="6" t="inlineStr">
        <is>
          <t>Pass</t>
        </is>
      </c>
      <c r="H12" s="6" t="n"/>
      <c r="I12" s="6" t="inlineStr">
        <is>
          <t>Chromium (Playwright)</t>
        </is>
      </c>
      <c r="J12" s="6" t="n"/>
      <c r="K12" s="6" t="n"/>
      <c r="L12" s="6" t="inlineStr">
        <is>
          <t>Automated: tests/ui/profile.spec.ts › update phone number
Lưu ý: form chỉnh sửa hồ sơ báo "Họ tên không hợp lệ!" với tên có số và dấu "-" (ví dụ test16-nhom6) dù form đăng ký chấp nhận tên này. Test điền họ tên hợp lệ trước khi lưu.</t>
        </is>
      </c>
    </row>
    <row r="13">
      <c r="A13" s="6" t="inlineStr">
        <is>
          <t>TC_28</t>
        </is>
      </c>
      <c r="B13" s="6" t="inlineStr">
        <is>
          <t>Kiểm tra cập nhật email thất bại khi email đã tồn tại.</t>
        </is>
      </c>
      <c r="C13" s="6" t="inlineStr">
        <is>
          <t>Người dùng đã đăng nhập thành công bằng tài khoản hợp lệ.</t>
        </is>
      </c>
      <c r="D13" s="6" t="inlineStr">
        <is>
          <t>1. Truy cập https://demo5.cybersoft.edu.vn/
2. Đăng nhập bằng tài khoản hợp lệ
3. Vào trang Profile (Dashboard)
4. Click icon chỉnh sửa để mở popup cập nhật
5. Nhập email của user khác vào ô [Email]
6. Click button [Cập nhật]</t>
        </is>
      </c>
      <c r="E13" s="6" t="inlineStr">
        <is>
          <t>- Email: test16-nhom6@gmail.com
- Password: test16-nhom6
- Email mới: test16-nhom6-register@gmail.com</t>
        </is>
      </c>
      <c r="F13" s="6" t="inlineStr">
        <is>
          <t>5. Cập nhật thất bại.
Xuất hiện thông báo "Email đã tồn tại !"</t>
        </is>
      </c>
      <c r="G13" s="6" t="inlineStr">
        <is>
          <t>Pass</t>
        </is>
      </c>
      <c r="H13" s="6" t="n"/>
      <c r="I13" s="6" t="inlineStr">
        <is>
          <t>Chromium (Playwright)</t>
        </is>
      </c>
      <c r="J13" s="6" t="n"/>
      <c r="K13" s="6" t="n"/>
      <c r="L13" s="6" t="inlineStr">
        <is>
          <t>Automated: tests/ui/profile.spec.ts › update email fails when the email already exists</t>
        </is>
      </c>
    </row>
    <row r="14">
      <c r="A14" s="6" t="inlineStr">
        <is>
          <t>TC_29</t>
        </is>
      </c>
      <c r="B14" s="6" t="inlineStr">
        <is>
          <t>Kiểm tra upload ảnh đại diện hợp lệ.</t>
        </is>
      </c>
      <c r="C14" s="6" t="inlineStr">
        <is>
          <t>Người dùng đã đăng nhập thành công bằng tài khoản hợp lệ.</t>
        </is>
      </c>
      <c r="D14" s="6" t="inlineStr">
        <is>
          <t>1. Truy cập https://demo5.cybersoft.edu.vn/
2. Đăng nhập bằng tài khoản hợp lệ
3. Vào trang Profile (Dashboard)
4. Click button [Cập nhật ảnh]
5. Chọn file ảnh hợp lệ
6. Click button [Upload Avatar]</t>
        </is>
      </c>
      <c r="E14" s="6" t="inlineStr">
        <is>
          <t>- Email: test16-nhom6@gmail.com
- Password: test16-nhom6
- File: avatar.jpg (jpg/png/gif)</t>
        </is>
      </c>
      <c r="F14" s="6" t="inlineStr">
        <is>
          <t>5. Upload thành công.
Xuất hiện thông báo "Cập nhật avatar thành công!" và ảnh đại diện được thay đổi.</t>
        </is>
      </c>
      <c r="G14" s="6" t="inlineStr">
        <is>
          <t>Pass</t>
        </is>
      </c>
      <c r="H14" s="6" t="n"/>
      <c r="I14" s="6" t="inlineStr">
        <is>
          <t>Chromium (Playwright)</t>
        </is>
      </c>
      <c r="J14" s="6" t="n"/>
      <c r="K14" s="6" t="n"/>
      <c r="L14" s="6" t="inlineStr">
        <is>
          <t>Automated: tests/ui/profile.spec.ts › upload a valid avatar</t>
        </is>
      </c>
    </row>
    <row r="15">
      <c r="A15" s="6" t="inlineStr">
        <is>
          <t>TC_30</t>
        </is>
      </c>
      <c r="B15" s="6" t="inlineStr">
        <is>
          <t>Kiểm tra upload thất bại khi chọn file sai định dạng.</t>
        </is>
      </c>
      <c r="C15" s="6" t="inlineStr">
        <is>
          <t>Người dùng đã đăng nhập thành công bằng tài khoản hợp lệ.</t>
        </is>
      </c>
      <c r="D15" s="6" t="inlineStr">
        <is>
          <t>1. Truy cập https://demo5.cybersoft.edu.vn/
2. Đăng nhập bằng tài khoản hợp lệ
3. Vào trang Profile (Dashboard)
4. Click button [Cập nhật ảnh]
5. Chọn file có định dạng không hỗ trợ
6. Click button [Upload Avatar]</t>
        </is>
      </c>
      <c r="E15" s="6" t="inlineStr">
        <is>
          <t>- Email: test16-nhom6@gmail.com
- Password: test16-nhom6
- File: avatar-wrong-format.txt</t>
        </is>
      </c>
      <c r="F15" s="6" t="inlineStr">
        <is>
          <t>5. Upload thất bại.
Xuất hiện thông báo "Chỉ cho phép dịnh dạng (jpg, jpeg, png, gif)"</t>
        </is>
      </c>
      <c r="G15" s="6" t="inlineStr">
        <is>
          <t>Pass</t>
        </is>
      </c>
      <c r="H15" s="6" t="n"/>
      <c r="I15" s="6" t="inlineStr">
        <is>
          <t>Chromium (Playwright)</t>
        </is>
      </c>
      <c r="J15" s="6" t="n"/>
      <c r="K15" s="6" t="n"/>
      <c r="L15" s="6" t="inlineStr">
        <is>
          <t>Automated: tests/ui/profile.spec.ts › upload fails for an invalid file format</t>
        </is>
      </c>
    </row>
    <row r="16">
      <c r="A16" s="6" t="inlineStr">
        <is>
          <t>TC_31</t>
        </is>
      </c>
      <c r="B16" s="6" t="inlineStr">
        <is>
          <t>Kiểm tra hiển thị lịch sử đặt phòng ở trang thông tin cá nhân.</t>
        </is>
      </c>
      <c r="C16" s="6" t="inlineStr">
        <is>
          <t>Người dùng đã đăng nhập thành công bằng tài khoản hợp lệ.
Tài khoản đã có ít nhất 1 booking.</t>
        </is>
      </c>
      <c r="D16" s="6" t="inlineStr">
        <is>
          <t>1. Truy cập https://demo5.cybersoft.edu.vn/
2. Đăng nhập bằng tài khoản hợp lệ
3. Vào trang Profile (Dashboard)
4. Quan sát mục [Phòng đã thuê]</t>
        </is>
      </c>
      <c r="E16" s="6" t="inlineStr">
        <is>
          <t>- Email: test16-nhom6@gmail.com
- Password: test16-nhom6</t>
        </is>
      </c>
      <c r="F16" s="6" t="inlineStr">
        <is>
          <t>3. Hiển thị tiêu đề "Phòng đã thuê" và danh sách các phòng đã đặt (ít nhất 1 phòng).</t>
        </is>
      </c>
      <c r="G16" s="6" t="inlineStr">
        <is>
          <t>Pass</t>
        </is>
      </c>
      <c r="H16" s="6" t="n"/>
      <c r="I16" s="6" t="inlineStr">
        <is>
          <t>Chromium (Playwright)</t>
        </is>
      </c>
      <c r="J16" s="6" t="n"/>
      <c r="K16" s="6" t="n"/>
      <c r="L16" s="6" t="inlineStr">
        <is>
          <t>Automated: tests/ui/profile.spec.ts › booking history is displayed</t>
        </is>
      </c>
    </row>
    <row r="17">
      <c r="A17" s="6" t="n"/>
      <c r="B17" s="6" t="n"/>
      <c r="C17" s="6" t="n"/>
      <c r="D17" s="6" t="n"/>
      <c r="E17" s="6" t="n"/>
      <c r="F17" s="6" t="n"/>
      <c r="G17" s="6" t="n"/>
      <c r="H17" s="6" t="n"/>
      <c r="I17" s="6" t="n"/>
      <c r="J17" s="6" t="n"/>
      <c r="K17" s="6" t="n"/>
      <c r="L17" s="6" t="n"/>
    </row>
    <row r="18">
      <c r="A18" s="6" t="n"/>
      <c r="B18" s="6" t="n"/>
      <c r="C18" s="6" t="n"/>
      <c r="D18" s="6" t="n"/>
      <c r="E18" s="6" t="n"/>
      <c r="F18" s="6" t="n"/>
      <c r="G18" s="6" t="n"/>
      <c r="H18" s="6" t="n"/>
      <c r="I18" s="6" t="n"/>
      <c r="J18" s="6" t="n"/>
      <c r="K18" s="6" t="n"/>
      <c r="L18" s="6" t="n"/>
    </row>
    <row r="19">
      <c r="A19" s="6" t="n"/>
      <c r="B19" s="6" t="n"/>
      <c r="C19" s="6" t="n"/>
      <c r="D19" s="6" t="n"/>
      <c r="E19" s="6" t="n"/>
      <c r="F19" s="6" t="n"/>
      <c r="G19" s="6" t="n"/>
      <c r="H19" s="6" t="n"/>
      <c r="I19" s="6" t="n"/>
      <c r="J19" s="6" t="n"/>
      <c r="K19" s="6" t="n"/>
      <c r="L19" s="6" t="n"/>
    </row>
    <row r="20">
      <c r="A20" s="6" t="n"/>
      <c r="B20" s="6" t="n"/>
      <c r="C20" s="6" t="n"/>
      <c r="D20" s="6" t="n"/>
      <c r="E20" s="6" t="n"/>
      <c r="F20" s="6" t="n"/>
      <c r="G20" s="6" t="n"/>
      <c r="H20" s="6" t="n"/>
      <c r="I20" s="6" t="n"/>
      <c r="J20" s="6" t="n"/>
      <c r="K20" s="6" t="n"/>
      <c r="L20" s="6" t="n"/>
    </row>
    <row r="21">
      <c r="A21" s="6" t="n"/>
      <c r="B21" s="6" t="n"/>
      <c r="C21" s="6" t="n"/>
      <c r="D21" s="6" t="n"/>
      <c r="E21" s="6" t="n"/>
      <c r="F21" s="6" t="n"/>
      <c r="G21" s="6" t="n"/>
      <c r="H21" s="6" t="n"/>
      <c r="I21" s="6" t="n"/>
      <c r="J21" s="6" t="n"/>
      <c r="K21" s="6" t="n"/>
      <c r="L21" s="6" t="n"/>
    </row>
  </sheetData>
  <mergeCells count="1">
    <mergeCell ref="A1:H1"/>
  </mergeCells>
  <dataValidations count="2">
    <dataValidation sqref="G11:G50" showDropDown="0" showInputMessage="0" showErrorMessage="0" allowBlank="1" type="list">
      <formula1>"Pass,Fail,Pending,N/A,Blocked"</formula1>
    </dataValidation>
    <dataValidation sqref="J11:J50" showDropDown="0" showInputMessage="0" showErrorMessage="0" allowBlank="1" type="list">
      <formula1>"High,Medium,Low"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1"/>
  <sheetViews>
    <sheetView workbookViewId="0">
      <pane ySplit="10" topLeftCell="A11" activePane="bottomLeft" state="frozen"/>
      <selection pane="bottomLeft" activeCell="A1" sqref="A1"/>
    </sheetView>
  </sheetViews>
  <sheetFormatPr baseColWidth="8" defaultRowHeight="15"/>
  <cols>
    <col width="14" customWidth="1" min="1" max="1"/>
    <col width="36" customWidth="1" min="2" max="2"/>
    <col width="30" customWidth="1" min="3" max="3"/>
    <col width="52" customWidth="1" min="4" max="4"/>
    <col width="34" customWidth="1" min="5" max="5"/>
    <col width="42" customWidth="1" min="6" max="6"/>
    <col width="16" customWidth="1" min="7" max="7"/>
    <col width="30" customWidth="1" min="8" max="8"/>
    <col width="18" customWidth="1" min="9" max="9"/>
    <col width="14" customWidth="1" min="10" max="10"/>
    <col width="20" customWidth="1" min="11" max="11"/>
    <col width="38" customWidth="1" min="12" max="12"/>
  </cols>
  <sheetData>
    <row r="1">
      <c r="A1" s="1" t="inlineStr">
        <is>
          <t>TEST CASE</t>
        </is>
      </c>
    </row>
    <row r="3">
      <c r="B3" s="12" t="inlineStr">
        <is>
          <t>Screen's name / Function's name</t>
        </is>
      </c>
      <c r="C3" s="6" t="inlineStr">
        <is>
          <t>API</t>
        </is>
      </c>
    </row>
    <row r="4">
      <c r="B4" s="12" t="inlineStr">
        <is>
          <t>Testcase Author</t>
        </is>
      </c>
      <c r="C4" s="6" t="inlineStr">
        <is>
          <t>Mohamed Hary</t>
        </is>
      </c>
    </row>
    <row r="10">
      <c r="A10" s="13" t="inlineStr">
        <is>
          <t>Test Case ID</t>
        </is>
      </c>
      <c r="B10" s="13" t="inlineStr">
        <is>
          <t>Title</t>
        </is>
      </c>
      <c r="C10" s="13" t="inlineStr">
        <is>
          <t>Pre-Conditions</t>
        </is>
      </c>
      <c r="D10" s="13" t="inlineStr">
        <is>
          <t>Test Steps</t>
        </is>
      </c>
      <c r="E10" s="13" t="inlineStr">
        <is>
          <t>Test Data</t>
        </is>
      </c>
      <c r="F10" s="13" t="inlineStr">
        <is>
          <t>Expected Results</t>
        </is>
      </c>
      <c r="G10" s="13" t="inlineStr">
        <is>
          <t>Execution Status</t>
        </is>
      </c>
      <c r="H10" s="13" t="inlineStr">
        <is>
          <t>Actual Results</t>
        </is>
      </c>
      <c r="I10" s="13" t="inlineStr">
        <is>
          <t>Test Environment</t>
        </is>
      </c>
      <c r="J10" s="13" t="inlineStr">
        <is>
          <t>Bug Priority</t>
        </is>
      </c>
      <c r="K10" s="13" t="inlineStr">
        <is>
          <t>Attachments</t>
        </is>
      </c>
      <c r="L10" s="13" t="inlineStr">
        <is>
          <t>Notes</t>
        </is>
      </c>
    </row>
    <row r="11">
      <c r="A11" s="6" t="inlineStr">
        <is>
          <t>API_01</t>
        </is>
      </c>
      <c r="B11" s="6" t="inlineStr">
        <is>
          <t>Signin thành công (Happy Case)</t>
        </is>
      </c>
      <c r="C11" s="6" t="inlineStr">
        <is>
          <t>1. Server hoạt động.
2. Tài khoản đã tồn tại trong DB.</t>
        </is>
      </c>
      <c r="D11" s="6" t="inlineStr">
        <is>
          <t>1. Mở Postman.
2. Chọn method POST.
3. Nhập URL: https://airbnbnew.cybersoft.edu.vn/api/auth/signin
4. Nhập Header tokenCybersoft.
5. Nhập JSON Body.
6. Send Request.</t>
        </is>
      </c>
      <c r="E11" s="14" t="inlineStr">
        <is>
          <t>URL: https://airbnbnew.cybersoft.edu.vn/api/auth/signin
Headers:
- tokenCybersoft: {{tokenCybersoft}}
Body:
{
  "email": "test16-nhom6@gmail.com",
  "password": "test16-nhom6"
}</t>
        </is>
      </c>
      <c r="F11" s="6" t="inlineStr">
        <is>
          <t>1. Status Code là 200 OK.
2. Response JSON chứa field content.token.
3. Thời gian phản hồi &lt; 2s.</t>
        </is>
      </c>
      <c r="G11" s="6" t="inlineStr">
        <is>
          <t>Pass</t>
        </is>
      </c>
      <c r="H11" s="6" t="inlineStr">
        <is>
          <t>1. Status 200 và có content.token. (176ms)
Lần chạy đầu tiên mất 3.65s (vượt ngưỡng 2s, do lần gọi đầu bị chậm); lần chạy lại đạt 176ms.</t>
        </is>
      </c>
      <c r="I11" s="6" t="inlineStr">
        <is>
          <t>Newman (Postman collection)</t>
        </is>
      </c>
      <c r="J11" s="6" t="n"/>
      <c r="K11" s="6" t="n"/>
      <c r="L11" s="6" t="inlineStr">
        <is>
          <t>Postman: AirBnB_API_Collection › 01_Auth</t>
        </is>
      </c>
    </row>
    <row r="12">
      <c r="A12" s="6" t="inlineStr">
        <is>
          <t>API_02</t>
        </is>
      </c>
      <c r="B12" s="6" t="inlineStr">
        <is>
          <t>Signin thất bại - Sai Password</t>
        </is>
      </c>
      <c r="C12" s="6" t="inlineStr">
        <is>
          <t>1. Server hoạt động.
2. Email đúng, Password sai.</t>
        </is>
      </c>
      <c r="D12" s="6" t="inlineStr">
        <is>
          <t>1. Mở Postman.
2. Chọn method POST.
3. Nhập URL: https://airbnbnew.cybersoft.edu.vn/api/auth/signin
4. Nhập Header tokenCybersoft.
5. Nhập JSON Body.
6. Send Request.</t>
        </is>
      </c>
      <c r="E12" s="14" t="inlineStr">
        <is>
          <t>URL: https://airbnbnew.cybersoft.edu.vn/api/auth/signin
Headers:
- tokenCybersoft: {{tokenCybersoft}}
Body:
{
  "email": "test16-nhom6@gmail.com",
  "password": "test16-nhom6-wrong"
}</t>
        </is>
      </c>
      <c r="F12" s="6" t="inlineStr">
        <is>
          <t>1. Status Code là 400 Bad Request.
2. Response content báo lỗi đăng nhập.
3. Thời gian phản hồi &lt; 2s.</t>
        </is>
      </c>
      <c r="G12" s="6" t="inlineStr">
        <is>
          <t>Pass</t>
        </is>
      </c>
      <c r="H12" s="6" t="inlineStr">
        <is>
          <t>1. Status 400. content có thông báo lỗi đăng nhập. (198ms)</t>
        </is>
      </c>
      <c r="I12" s="6" t="inlineStr">
        <is>
          <t>Newman (Postman collection)</t>
        </is>
      </c>
      <c r="J12" s="6" t="n"/>
      <c r="K12" s="6" t="n"/>
      <c r="L12" s="6" t="inlineStr">
        <is>
          <t>Postman: AirBnB_API_Collection › 01_Auth</t>
        </is>
      </c>
    </row>
    <row r="13">
      <c r="A13" s="6" t="inlineStr">
        <is>
          <t>API_03</t>
        </is>
      </c>
      <c r="B13" s="6" t="inlineStr">
        <is>
          <t>Signin thất bại - Thiếu Email</t>
        </is>
      </c>
      <c r="C13" s="6" t="inlineStr">
        <is>
          <t>Server hoạt động.</t>
        </is>
      </c>
      <c r="D13" s="6" t="inlineStr">
        <is>
          <t>1. Mở Postman.
2. Chọn method POST.
3. Nhập URL: https://airbnbnew.cybersoft.edu.vn/api/auth/signin
4. Nhập Header tokenCybersoft.
5. Nhập JSON Body.
6. Send Request.</t>
        </is>
      </c>
      <c r="E13" s="14" t="inlineStr">
        <is>
          <t>URL: https://airbnbnew.cybersoft.edu.vn/api/auth/signin
Headers:
- tokenCybersoft: {{tokenCybersoft}}
Body:
{
  "email": "",
  "password": "test16-nhom6"
}</t>
        </is>
      </c>
      <c r="F13" s="6" t="inlineStr">
        <is>
          <t>1. Status Code là 400 Bad Request.
2. Thời gian phản hồi &lt; 2s.</t>
        </is>
      </c>
      <c r="G13" s="6" t="inlineStr">
        <is>
          <t>Pass</t>
        </is>
      </c>
      <c r="H13" s="6" t="inlineStr">
        <is>
          <t>1. Status 400. (109ms)</t>
        </is>
      </c>
      <c r="I13" s="6" t="inlineStr">
        <is>
          <t>Newman (Postman collection)</t>
        </is>
      </c>
      <c r="J13" s="6" t="n"/>
      <c r="K13" s="6" t="n"/>
      <c r="L13" s="6" t="inlineStr">
        <is>
          <t>Postman: AirBnB_API_Collection › 01_Auth</t>
        </is>
      </c>
    </row>
    <row r="14">
      <c r="A14" s="6" t="inlineStr">
        <is>
          <t>API_04</t>
        </is>
      </c>
      <c r="B14" s="6" t="inlineStr">
        <is>
          <t>Signup thất bại - Email đã tồn tại</t>
        </is>
      </c>
      <c r="C14" s="6" t="inlineStr">
        <is>
          <t>1. Server hoạt động.
2. Email đã tồn tại trong DB.</t>
        </is>
      </c>
      <c r="D14" s="6" t="inlineStr">
        <is>
          <t>1. Mở Postman.
2. Chọn method POST.
3. Nhập URL: https://airbnbnew.cybersoft.edu.vn/api/auth/signup
4. Nhập Header tokenCybersoft.
5. Nhập JSON Body.
6. Send Request.</t>
        </is>
      </c>
      <c r="E14" s="14" t="inlineStr">
        <is>
          <t>URL: https://airbnbnew.cybersoft.edu.vn/api/auth/signup
Headers:
- tokenCybersoft: {{tokenCybersoft}}
Body:
{
  "id": 0,
  "name": "API Test User",
  "email": "test16-nhom6@gmail.com",
  "password": "test16-nhom6",
  "phone": "0123456789",
  "birthday": "01/01/2000",
  "gender": true,
  "role": "USER"
}</t>
        </is>
      </c>
      <c r="F14" s="6" t="inlineStr">
        <is>
          <t>1. Status Code là 400 Bad Request.
2. Response content báo email đã tồn tại.
3. Thời gian phản hồi &lt; 2s.</t>
        </is>
      </c>
      <c r="G14" s="6" t="inlineStr">
        <is>
          <t>Pass</t>
        </is>
      </c>
      <c r="H14" s="6" t="inlineStr">
        <is>
          <t>1. Status 400. content có thông báo lỗi. (31ms)</t>
        </is>
      </c>
      <c r="I14" s="6" t="inlineStr">
        <is>
          <t>Newman (Postman collection)</t>
        </is>
      </c>
      <c r="J14" s="6" t="n"/>
      <c r="K14" s="6" t="n"/>
      <c r="L14" s="6" t="inlineStr">
        <is>
          <t>Postman: AirBnB_API_Collection › 01_Auth</t>
        </is>
      </c>
    </row>
    <row r="15">
      <c r="A15" s="6" t="inlineStr">
        <is>
          <t>API_05</t>
        </is>
      </c>
      <c r="B15" s="6" t="inlineStr">
        <is>
          <t>Lấy thông tin User theo id (kiểm tra Token)</t>
        </is>
      </c>
      <c r="C15" s="6" t="inlineStr">
        <is>
          <t>1. Server hoạt động.
2. Đã chạy API_01 thành công (có token_airbnb và user_id).</t>
        </is>
      </c>
      <c r="D15" s="6" t="inlineStr">
        <is>
          <t>1. Mở Postman.
2. Chọn method GET.
3. Nhập URL: https://airbnbnew.cybersoft.edu.vn/api/users/{{user_id}}
4. Nhập Header tokenCybersoft và token.
5. Send Request.</t>
        </is>
      </c>
      <c r="E15" s="14" t="inlineStr">
        <is>
          <t>URL: https://airbnbnew.cybersoft.edu.vn/api/users/{{user_id}}
Headers:
- tokenCybersoft: {{tokenCybersoft}}
- token: {{token_airbnb}}</t>
        </is>
      </c>
      <c r="F15" s="6" t="inlineStr">
        <is>
          <t>1. Status Code là 200 OK.
2. Trả về đúng email của người vừa đăng nhập.
3. Thời gian phản hồi &lt; 2s.</t>
        </is>
      </c>
      <c r="G15" s="6" t="inlineStr">
        <is>
          <t>Pass</t>
        </is>
      </c>
      <c r="H15" s="6" t="inlineStr">
        <is>
          <t>1. Status 200. email trả về trùng với email đăng nhập. (101ms)</t>
        </is>
      </c>
      <c r="I15" s="6" t="inlineStr">
        <is>
          <t>Newman (Postman collection)</t>
        </is>
      </c>
      <c r="J15" s="6" t="n"/>
      <c r="K15" s="6" t="n"/>
      <c r="L15" s="6" t="inlineStr">
        <is>
          <t>Postman: AirBnB_API_Collection › 02_Flow_After_Login</t>
        </is>
      </c>
    </row>
    <row r="16">
      <c r="A16" s="6" t="inlineStr">
        <is>
          <t>API_06</t>
        </is>
      </c>
      <c r="B16" s="6" t="inlineStr">
        <is>
          <t>Kiểm tra người dùng upload ảnh đại diện thành công</t>
        </is>
      </c>
      <c r="C16" s="6" t="inlineStr">
        <is>
          <t>1. Người dùng đã đăng nhập và có token hợp lệ.
2. Có sẵn file ảnh (.jpg, .png) dưới 2MB.</t>
        </is>
      </c>
      <c r="D16" s="6" t="inlineStr">
        <is>
          <t>1. Mở Postman.
2. Chọn method POST.
3. Nhập URL: https://airbnbnew.cybersoft.edu.vn/api/users/upload-avatar
4. Thêm Header tokenCybersoft và token lấy từ API_01.
5. Trong Body chọn loại form-data.
6. Nhập Key là formFile (chọn type File) và chọn file ảnh.
7. Send Request.</t>
        </is>
      </c>
      <c r="E16" s="14" t="inlineStr">
        <is>
          <t>URL: https://airbnbnew.cybersoft.edu.vn/api/users/upload-avatar
Headers:
- tokenCybersoft: {{tokenCybersoft}}
- token: {{token_airbnb}}
- File: avatar.jpg (dưới 2MB)</t>
        </is>
      </c>
      <c r="F16" s="6" t="inlineStr">
        <is>
          <t>1. Status Code là 200 OK.
2. Response content chứa thông tin user với đường dẫn avatar mới.
3. Thời gian phản hồi &lt; 2s.</t>
        </is>
      </c>
      <c r="G16" s="6" t="inlineStr">
        <is>
          <t>Pass</t>
        </is>
      </c>
      <c r="H16" s="6" t="inlineStr">
        <is>
          <t>Xác nhận gián tiếp qua giao diện: test "upload a valid avatar" Pass, xuất hiện thông báo "Cập nhật avatar thành công!" và ảnh đại diện thay đổi.</t>
        </is>
      </c>
      <c r="I16" s="6" t="inlineStr">
        <is>
          <t>Giao diện (Playwright), gián tiếp</t>
        </is>
      </c>
      <c r="J16" s="6" t="n"/>
      <c r="K16" s="6" t="n"/>
      <c r="L16" s="6" t="inlineStr">
        <is>
          <t>Postman: AirBnB_API_Collection › 02_Flow_After_Login
Newman không gắn được file ảnh (formFile) nên server trả 400; kết quả lấy từ test giao diện, chưa chạy trực tiếp request này trong Postman.</t>
        </is>
      </c>
    </row>
    <row r="17">
      <c r="A17" s="6" t="inlineStr">
        <is>
          <t>API_07</t>
        </is>
      </c>
      <c r="B17" s="6" t="inlineStr">
        <is>
          <t>Tìm kiếm phòng có phân trang</t>
        </is>
      </c>
      <c r="C17" s="6" t="inlineStr">
        <is>
          <t>Server hoạt động.</t>
        </is>
      </c>
      <c r="D17" s="6" t="inlineStr">
        <is>
          <t>1. Mở Postman.
2. Chọn method GET.
3. Nhập URL: https://airbnbnew.cybersoft.edu.vn/api/phong-thue/phan-trang-tim-kiem
4. Nhập Header tokenCybersoft.
5. Send Request.</t>
        </is>
      </c>
      <c r="E17" s="14" t="inlineStr">
        <is>
          <t>URL: https://airbnbnew.cybersoft.edu.vn/api/phong-thue/phan-trang-tim-kiem
Query Params:
- pageIndex: 1
- pageSize: 10
- keyword: (để trống)
Headers:
- tokenCybersoft: {{tokenCybersoft}}</t>
        </is>
      </c>
      <c r="F17" s="6" t="inlineStr">
        <is>
          <t>1. Status Code là 200 OK.
2. content.data là danh sách có tối đa 10 phòng.
3. Thời gian phản hồi &lt; 2s.</t>
        </is>
      </c>
      <c r="G17" s="6" t="inlineStr">
        <is>
          <t>Pass</t>
        </is>
      </c>
      <c r="H17" s="6" t="inlineStr">
        <is>
          <t>1. Status 200. content.data có tối đa 10 phòng. (270ms)</t>
        </is>
      </c>
      <c r="I17" s="6" t="inlineStr">
        <is>
          <t>Newman (Postman collection)</t>
        </is>
      </c>
      <c r="J17" s="6" t="n"/>
      <c r="K17" s="6" t="n"/>
      <c r="L17" s="6" t="inlineStr">
        <is>
          <t>Postman: AirBnB_API_Collection › 02_Flow_After_Login</t>
        </is>
      </c>
    </row>
    <row r="18">
      <c r="A18" s="6" t="inlineStr">
        <is>
          <t>API_08</t>
        </is>
      </c>
      <c r="B18" s="6" t="inlineStr">
        <is>
          <t>Lấy danh sách phòng theo vị trí</t>
        </is>
      </c>
      <c r="C18" s="6" t="inlineStr">
        <is>
          <t>Server hoạt động.</t>
        </is>
      </c>
      <c r="D18" s="6" t="inlineStr">
        <is>
          <t>1. Mở Postman.
2. Chọn method GET.
3. Nhập URL: https://airbnbnew.cybersoft.edu.vn/api/phong-thue/lay-phong-theo-vi-tri
4. Nhập Header tokenCybersoft.
5. Send Request.</t>
        </is>
      </c>
      <c r="E18" s="14" t="inlineStr">
        <is>
          <t>URL: https://airbnbnew.cybersoft.edu.vn/api/phong-thue/lay-phong-theo-vi-tri
Query Params:
- maViTri: 1
Headers:
- tokenCybersoft: {{tokenCybersoft}}</t>
        </is>
      </c>
      <c r="F18" s="6" t="inlineStr">
        <is>
          <t>1. Status Code là 200 OK.
2. content là danh sách phòng thuộc vị trí đã chọn.
3. Thời gian phản hồi &lt; 2s.</t>
        </is>
      </c>
      <c r="G18" s="6" t="inlineStr">
        <is>
          <t>Pass</t>
        </is>
      </c>
      <c r="H18" s="6" t="inlineStr">
        <is>
          <t>1. Status 200. content là danh sách phòng của vị trí 1. (175ms)</t>
        </is>
      </c>
      <c r="I18" s="6" t="inlineStr">
        <is>
          <t>Newman (Postman collection)</t>
        </is>
      </c>
      <c r="J18" s="6" t="n"/>
      <c r="K18" s="6" t="n"/>
      <c r="L18" s="6" t="inlineStr">
        <is>
          <t>Postman: AirBnB_API_Collection › 02_Flow_After_Login</t>
        </is>
      </c>
    </row>
    <row r="19">
      <c r="A19" s="6" t="inlineStr">
        <is>
          <t>API_09</t>
        </is>
      </c>
      <c r="B19" s="6" t="inlineStr">
        <is>
          <t>Lấy chi tiết phòng theo id</t>
        </is>
      </c>
      <c r="C19" s="6" t="inlineStr">
        <is>
          <t>Server hoạt động.</t>
        </is>
      </c>
      <c r="D19" s="6" t="inlineStr">
        <is>
          <t>1. Mở Postman.
2. Chọn method GET.
3. Nhập URL: https://airbnbnew.cybersoft.edu.vn/api/phong-thue/{{room_id}}
4. Nhập Header tokenCybersoft.
5. Send Request.</t>
        </is>
      </c>
      <c r="E19" s="14" t="inlineStr">
        <is>
          <t>URL: https://airbnbnew.cybersoft.edu.vn/api/phong-thue/1
Headers:
- tokenCybersoft: {{tokenCybersoft}}</t>
        </is>
      </c>
      <c r="F19" s="6" t="inlineStr">
        <is>
          <t>1. Status Code là 200 OK.
2. content.id trùng với id đã yêu cầu.
3. Thời gian phản hồi &lt; 2s.</t>
        </is>
      </c>
      <c r="G19" s="6" t="inlineStr">
        <is>
          <t>Pass</t>
        </is>
      </c>
      <c r="H19" s="6" t="inlineStr">
        <is>
          <t>1. Status 200. content.id = 1. (30ms)</t>
        </is>
      </c>
      <c r="I19" s="6" t="inlineStr">
        <is>
          <t>Newman (Postman collection)</t>
        </is>
      </c>
      <c r="J19" s="6" t="n"/>
      <c r="K19" s="6" t="n"/>
      <c r="L19" s="6" t="inlineStr">
        <is>
          <t>Postman: AirBnB_API_Collection › 02_Flow_After_Login</t>
        </is>
      </c>
    </row>
    <row r="20">
      <c r="A20" s="6" t="inlineStr">
        <is>
          <t>API_10</t>
        </is>
      </c>
      <c r="B20" s="6" t="inlineStr">
        <is>
          <t>Lấy danh sách vị trí</t>
        </is>
      </c>
      <c r="C20" s="6" t="inlineStr">
        <is>
          <t>Server hoạt động.</t>
        </is>
      </c>
      <c r="D20" s="6" t="inlineStr">
        <is>
          <t>1. Mở Postman.
2. Chọn method GET.
3. Nhập URL: https://airbnbnew.cybersoft.edu.vn/api/vi-tri
4. Nhập Header tokenCybersoft.
5. Send Request.</t>
        </is>
      </c>
      <c r="E20" s="14" t="inlineStr">
        <is>
          <t>URL: https://airbnbnew.cybersoft.edu.vn/api/vi-tri
Headers:
- tokenCybersoft: {{tokenCybersoft}}</t>
        </is>
      </c>
      <c r="F20" s="6" t="inlineStr">
        <is>
          <t>1. Status Code là 200 OK.
2. content là danh sách vị trí, ít nhất 1 phần tử.
3. Thời gian phản hồi &lt; 2s.</t>
        </is>
      </c>
      <c r="G20" s="6" t="inlineStr">
        <is>
          <t>Pass</t>
        </is>
      </c>
      <c r="H20" s="6" t="inlineStr">
        <is>
          <t>1. Status 200. content là danh sách vị trí, có phần tử. (193ms)</t>
        </is>
      </c>
      <c r="I20" s="6" t="inlineStr">
        <is>
          <t>Newman (Postman collection)</t>
        </is>
      </c>
      <c r="J20" s="6" t="n"/>
      <c r="K20" s="6" t="n"/>
      <c r="L20" s="6" t="inlineStr">
        <is>
          <t>Postman: AirBnB_API_Collection › 02_Flow_After_Login</t>
        </is>
      </c>
    </row>
    <row r="21">
      <c r="A21" s="6" t="inlineStr">
        <is>
          <t>API_11</t>
        </is>
      </c>
      <c r="B21" s="6" t="inlineStr">
        <is>
          <t>Tạo booking phòng</t>
        </is>
      </c>
      <c r="C21" s="6" t="inlineStr">
        <is>
          <t>1. Server hoạt động.
2. Đã chạy API_01 thành công (có token_airbnb và user_id).</t>
        </is>
      </c>
      <c r="D21" s="6" t="inlineStr">
        <is>
          <t>1. Mở Postman.
2. Chọn method POST.
3. Nhập URL: https://airbnbnew.cybersoft.edu.vn/api/dat-phong
4. Nhập Header tokenCybersoft.
5. Nhập JSON Body.
6. Send Request.</t>
        </is>
      </c>
      <c r="E21" s="14" t="inlineStr">
        <is>
          <t>URL: https://airbnbnew.cybersoft.edu.vn/api/dat-phong
Headers:
- tokenCybersoft: {{tokenCybersoft}}
Body:
{
  "id": 0,
  "maPhong": 1,
  "ngayDen": "(hôm nay + 30 ngày, ISO)",
  "ngayDi": "(hôm nay + 37 ngày, ISO)",
  "soLuongKhach": 2,
  "maNguoiDung": {{user_id}}
}</t>
        </is>
      </c>
      <c r="F21" s="6" t="inlineStr">
        <is>
          <t>1. Status Code là 200/201.
2. Response content trả về thông tin booking vừa tạo.
3. Thời gian phản hồi &lt; 2s.</t>
        </is>
      </c>
      <c r="G21" s="6" t="inlineStr">
        <is>
          <t>Pass</t>
        </is>
      </c>
      <c r="H21" s="6" t="inlineStr">
        <is>
          <t>1. Status 201 Created. Có thông tin booking trả về. (172ms)</t>
        </is>
      </c>
      <c r="I21" s="6" t="inlineStr">
        <is>
          <t>Newman (Postman collection)</t>
        </is>
      </c>
      <c r="J21" s="6" t="n"/>
      <c r="K21" s="6" t="n"/>
      <c r="L21" s="6" t="inlineStr">
        <is>
          <t>Postman: AirBnB_API_Collection › 02_Flow_After_Login</t>
        </is>
      </c>
    </row>
    <row r="22">
      <c r="A22" s="6" t="inlineStr">
        <is>
          <t>API_12</t>
        </is>
      </c>
      <c r="B22" s="6" t="inlineStr">
        <is>
          <t>Lấy danh sách booking theo người dùng</t>
        </is>
      </c>
      <c r="C22" s="6" t="inlineStr">
        <is>
          <t>1. Đã chạy API_11 thành công.
2. Server hoạt động.</t>
        </is>
      </c>
      <c r="D22" s="6" t="inlineStr">
        <is>
          <t>1. Mở Postman.
2. Chọn method GET.
3. Nhập URL: https://airbnbnew.cybersoft.edu.vn/api/dat-phong/lay-theo-nguoi-dung/{{user_id}}
4. Nhập Header tokenCybersoft.
5. Send Request.</t>
        </is>
      </c>
      <c r="E22" s="14" t="inlineStr">
        <is>
          <t>URL: https://airbnbnew.cybersoft.edu.vn/api/dat-phong/lay-theo-nguoi-dung/{{user_id}}
Headers:
- tokenCybersoft: {{tokenCybersoft}}</t>
        </is>
      </c>
      <c r="F22" s="6" t="inlineStr">
        <is>
          <t>1. Status Code là 200 OK.
2. Danh sách chứa ít nhất 1 booking (vừa tạo ở API_11).
3. Thời gian phản hồi &lt; 2s.</t>
        </is>
      </c>
      <c r="G22" s="6" t="inlineStr">
        <is>
          <t>Pass</t>
        </is>
      </c>
      <c r="H22" s="6" t="inlineStr">
        <is>
          <t>1. Status 200. Danh sách booking có phần tử (sau API_11). (182ms)</t>
        </is>
      </c>
      <c r="I22" s="6" t="inlineStr">
        <is>
          <t>Newman (Postman collection)</t>
        </is>
      </c>
      <c r="J22" s="6" t="n"/>
      <c r="K22" s="6" t="n"/>
      <c r="L22" s="6" t="inlineStr">
        <is>
          <t>Postman: AirBnB_API_Collection › 02_Flow_After_Login</t>
        </is>
      </c>
    </row>
    <row r="23">
      <c r="A23" s="6" t="inlineStr">
        <is>
          <t>API_13</t>
        </is>
      </c>
      <c r="B23" s="6" t="inlineStr">
        <is>
          <t>Thêm bình luận cho phòng</t>
        </is>
      </c>
      <c r="C23" s="6" t="inlineStr">
        <is>
          <t>1. Server hoạt động.
2. Đã chạy API_01 thành công (có token_airbnb và user_id).</t>
        </is>
      </c>
      <c r="D23" s="6" t="inlineStr">
        <is>
          <t>1. Mở Postman.
2. Chọn method POST.
3. Nhập URL: https://airbnbnew.cybersoft.edu.vn/api/binh-luan
4. Nhập Header tokenCybersoft.
5. Nhập JSON Body.
6. Send Request.</t>
        </is>
      </c>
      <c r="E23" s="14" t="inlineStr">
        <is>
          <t>URL: https://airbnbnew.cybersoft.edu.vn/api/binh-luan
Headers:
- tokenCybersoft: {{tokenCybersoft}}
- token: {{token_airbnb}}
Body:
{
  "id": 0,
  "maPhong": 1,
  "maNguoiBinhLuan": {{user_id}},
  "ngayBinhLuan": "(ngày hiện tại)",
  "noiDung": "API test comment",
  "saoBinhLuan": 5
}</t>
        </is>
      </c>
      <c r="F23" s="6" t="inlineStr">
        <is>
          <t>1. Status Code là 200/201.
2. content.noiDung đúng với nội dung đã gửi.
3. Thời gian phản hồi &lt; 2s.</t>
        </is>
      </c>
      <c r="G23" s="6" t="inlineStr">
        <is>
          <t>Pass</t>
        </is>
      </c>
      <c r="H23" s="6" t="inlineStr">
        <is>
          <t>1. Status 201 Created. noiDung khớp nội dung đã gửi. (173ms)</t>
        </is>
      </c>
      <c r="I23" s="6" t="inlineStr">
        <is>
          <t>Newman (Postman collection)</t>
        </is>
      </c>
      <c r="J23" s="6" t="n"/>
      <c r="K23" s="6" t="n"/>
      <c r="L23" s="6" t="inlineStr">
        <is>
          <t>Postman: AirBnB_API_Collection › 02_Flow_After_Login</t>
        </is>
      </c>
    </row>
    <row r="24">
      <c r="A24" s="6" t="inlineStr">
        <is>
          <t>API_14</t>
        </is>
      </c>
      <c r="B24" s="6" t="inlineStr">
        <is>
          <t>Lấy danh sách bình luận theo phòng</t>
        </is>
      </c>
      <c r="C24" s="6" t="inlineStr">
        <is>
          <t>Server hoạt động.</t>
        </is>
      </c>
      <c r="D24" s="6" t="inlineStr">
        <is>
          <t>1. Mở Postman.
2. Chọn method GET.
3. Nhập URL: https://airbnbnew.cybersoft.edu.vn/api/binh-luan/lay-binh-luan-theo-phong/{{room_id}}
4. Nhập Header tokenCybersoft.
5. Send Request.</t>
        </is>
      </c>
      <c r="E24" s="14" t="inlineStr">
        <is>
          <t>URL: https://airbnbnew.cybersoft.edu.vn/api/binh-luan/lay-binh-luan-theo-phong/1
Headers:
- tokenCybersoft: {{tokenCybersoft}}</t>
        </is>
      </c>
      <c r="F24" s="6" t="inlineStr">
        <is>
          <t>1. Status Code là 200 OK.
2. content là danh sách bình luận của phòng.
3. Thời gian phản hồi &lt; 2s.</t>
        </is>
      </c>
      <c r="G24" s="6" t="inlineStr">
        <is>
          <t>Pass</t>
        </is>
      </c>
      <c r="H24" s="6" t="inlineStr">
        <is>
          <t>1. Status 200. content là danh sách bình luận của phòng 1. (922ms)</t>
        </is>
      </c>
      <c r="I24" s="6" t="inlineStr">
        <is>
          <t>Newman (Postman collection)</t>
        </is>
      </c>
      <c r="J24" s="6" t="n"/>
      <c r="K24" s="6" t="n"/>
      <c r="L24" s="6" t="inlineStr">
        <is>
          <t>Postman: AirBnB_API_Collection › 02_Flow_After_Login</t>
        </is>
      </c>
    </row>
    <row r="25">
      <c r="A25" s="6" t="inlineStr">
        <is>
          <t>API_15</t>
        </is>
      </c>
      <c r="B25" s="6" t="inlineStr">
        <is>
          <t>Gọi API không có header tokenCybersoft</t>
        </is>
      </c>
      <c r="C25" s="6" t="inlineStr">
        <is>
          <t>Server hoạt động.</t>
        </is>
      </c>
      <c r="D25" s="6" t="inlineStr">
        <is>
          <t>1. Mở Postman.
2. Chọn method GET.
3. Nhập URL: https://airbnbnew.cybersoft.edu.vn/api/vi-tri
4. Không nhập Header tokenCybersoft.
5. Send Request.</t>
        </is>
      </c>
      <c r="E25" s="14" t="inlineStr">
        <is>
          <t>URL: https://airbnbnew.cybersoft.edu.vn/api/vi-tri
Headers: (không có)</t>
        </is>
      </c>
      <c r="F25" s="6" t="inlineStr">
        <is>
          <t>1. Status Code là 401 hoặc 403.
2. Hệ thống từ chối truy cập.
3. Thời gian phản hồi &lt; 2s.</t>
        </is>
      </c>
      <c r="G25" s="6" t="inlineStr">
        <is>
          <t>Pass</t>
        </is>
      </c>
      <c r="H25" s="6" t="inlineStr">
        <is>
          <t>1. Status 403. Hệ thống từ chối truy cập. (39ms)</t>
        </is>
      </c>
      <c r="I25" s="6" t="inlineStr">
        <is>
          <t>Newman (Postman collection)</t>
        </is>
      </c>
      <c r="J25" s="6" t="n"/>
      <c r="K25" s="6" t="n"/>
      <c r="L25" s="6" t="inlineStr">
        <is>
          <t>Postman: AirBnB_API_Collection › 03_Negative_Security</t>
        </is>
      </c>
    </row>
    <row r="26">
      <c r="A26" s="6" t="inlineStr">
        <is>
          <t>API_16</t>
        </is>
      </c>
      <c r="B26" s="6" t="inlineStr">
        <is>
          <t>Thêm bình luận khi không có token người dùng</t>
        </is>
      </c>
      <c r="C26" s="6" t="inlineStr">
        <is>
          <t>1. Server hoạt động.
2. Đã chạy API_01 thành công (có token_airbnb và user_id).</t>
        </is>
      </c>
      <c r="D26" s="6" t="inlineStr">
        <is>
          <t>1. Mở Postman.
2. Chọn method POST.
3. Nhập URL: https://airbnbnew.cybersoft.edu.vn/api/binh-luan
4. Chỉ nhập Header tokenCybersoft, bỏ header token.
5. Nhập JSON Body hợp lệ.
6. Send Request.</t>
        </is>
      </c>
      <c r="E26" s="14" t="inlineStr">
        <is>
          <t>URL: https://airbnbnew.cybersoft.edu.vn/api/binh-luan
Headers:
- tokenCybersoft: {{tokenCybersoft}}
Body: giống API_13</t>
        </is>
      </c>
      <c r="F26" s="6" t="inlineStr">
        <is>
          <t>1. Status Code là 400/401/403 (hệ thống từ chối khi thiếu token).
2. Nếu trả về 200/201 thì ghi nhận là BUG.
3. Thời gian phản hồi &lt; 2s.</t>
        </is>
      </c>
      <c r="G26" s="6" t="inlineStr">
        <is>
          <t>Pass</t>
        </is>
      </c>
      <c r="H26" s="6" t="inlineStr">
        <is>
          <t>1. Status 403. Bình luận không có token bị từ chối. (35ms)</t>
        </is>
      </c>
      <c r="I26" s="6" t="inlineStr">
        <is>
          <t>Newman (Postman collection)</t>
        </is>
      </c>
      <c r="J26" s="6" t="n"/>
      <c r="K26" s="6" t="n"/>
      <c r="L26" s="6" t="inlineStr">
        <is>
          <t>Postman: AirBnB_API_Collection › 03_Negative_Security</t>
        </is>
      </c>
    </row>
    <row r="27">
      <c r="A27" s="6" t="n"/>
      <c r="B27" s="6" t="n"/>
      <c r="C27" s="6" t="n"/>
      <c r="D27" s="6" t="n"/>
      <c r="E27" s="6" t="n"/>
      <c r="F27" s="6" t="n"/>
      <c r="G27" s="6" t="n"/>
      <c r="H27" s="6" t="n"/>
      <c r="I27" s="6" t="n"/>
      <c r="J27" s="6" t="n"/>
      <c r="K27" s="6" t="n"/>
      <c r="L27" s="6" t="n"/>
    </row>
    <row r="28">
      <c r="A28" s="6" t="n"/>
      <c r="B28" s="6" t="n"/>
      <c r="C28" s="6" t="n"/>
      <c r="D28" s="6" t="n"/>
      <c r="E28" s="6" t="n"/>
      <c r="F28" s="6" t="n"/>
      <c r="G28" s="6" t="n"/>
      <c r="H28" s="6" t="n"/>
      <c r="I28" s="6" t="n"/>
      <c r="J28" s="6" t="n"/>
      <c r="K28" s="6" t="n"/>
      <c r="L28" s="6" t="n"/>
    </row>
    <row r="29">
      <c r="A29" s="6" t="n"/>
      <c r="B29" s="6" t="n"/>
      <c r="C29" s="6" t="n"/>
      <c r="D29" s="6" t="n"/>
      <c r="E29" s="6" t="n"/>
      <c r="F29" s="6" t="n"/>
      <c r="G29" s="6" t="n"/>
      <c r="H29" s="6" t="n"/>
      <c r="I29" s="6" t="n"/>
      <c r="J29" s="6" t="n"/>
      <c r="K29" s="6" t="n"/>
      <c r="L29" s="6" t="n"/>
    </row>
    <row r="30">
      <c r="A30" s="6" t="n"/>
      <c r="B30" s="6" t="n"/>
      <c r="C30" s="6" t="n"/>
      <c r="D30" s="6" t="n"/>
      <c r="E30" s="6" t="n"/>
      <c r="F30" s="6" t="n"/>
      <c r="G30" s="6" t="n"/>
      <c r="H30" s="6" t="n"/>
      <c r="I30" s="6" t="n"/>
      <c r="J30" s="6" t="n"/>
      <c r="K30" s="6" t="n"/>
      <c r="L30" s="6" t="n"/>
    </row>
    <row r="31">
      <c r="A31" s="6" t="n"/>
      <c r="B31" s="6" t="n"/>
      <c r="C31" s="6" t="n"/>
      <c r="D31" s="6" t="n"/>
      <c r="E31" s="6" t="n"/>
      <c r="F31" s="6" t="n"/>
      <c r="G31" s="6" t="n"/>
      <c r="H31" s="6" t="n"/>
      <c r="I31" s="6" t="n"/>
      <c r="J31" s="6" t="n"/>
      <c r="K31" s="6" t="n"/>
      <c r="L31" s="6" t="n"/>
    </row>
  </sheetData>
  <mergeCells count="1">
    <mergeCell ref="A1:H1"/>
  </mergeCells>
  <dataValidations count="2">
    <dataValidation sqref="G11:G50" showDropDown="0" showInputMessage="0" showErrorMessage="0" allowBlank="1" type="list">
      <formula1>"Pass,Fail,Pending,N/A,Blocked"</formula1>
    </dataValidation>
    <dataValidation sqref="J11:J50" showDropDown="0" showInputMessage="0" showErrorMessage="0" allowBlank="1" type="list">
      <formula1>"High,Medium,Low"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7"/>
  <sheetViews>
    <sheetView workbookViewId="0">
      <pane ySplit="10" topLeftCell="A11" activePane="bottomLeft" state="frozen"/>
      <selection pane="bottomLeft" activeCell="A1" sqref="A1"/>
    </sheetView>
  </sheetViews>
  <sheetFormatPr baseColWidth="8" defaultRowHeight="15"/>
  <cols>
    <col width="12" customWidth="1" min="1" max="1"/>
    <col width="38" customWidth="1" min="2" max="2"/>
    <col width="18" customWidth="1" min="3" max="3"/>
    <col width="48" customWidth="1" min="4" max="4"/>
    <col width="36" customWidth="1" min="5" max="5"/>
    <col width="40" customWidth="1" min="6" max="6"/>
    <col width="12" customWidth="1" min="7" max="7"/>
    <col width="14" customWidth="1" min="8" max="8"/>
    <col width="20" customWidth="1" min="9" max="9"/>
    <col width="16" customWidth="1" min="10" max="10"/>
    <col width="24" customWidth="1" min="11" max="11"/>
    <col width="40" customWidth="1" min="12" max="12"/>
  </cols>
  <sheetData>
    <row r="1">
      <c r="A1" s="1" t="inlineStr">
        <is>
          <t>BUG REPORT</t>
        </is>
      </c>
    </row>
    <row r="3">
      <c r="B3" s="12" t="inlineStr">
        <is>
          <t>Project name</t>
        </is>
      </c>
      <c r="C3" s="6" t="inlineStr">
        <is>
          <t>AirBnB</t>
        </is>
      </c>
    </row>
    <row r="4">
      <c r="B4" s="12" t="inlineStr">
        <is>
          <t>Total bugs</t>
        </is>
      </c>
      <c r="C4" s="6">
        <f>COUNTA(A11:A50)</f>
        <v/>
      </c>
    </row>
    <row r="10">
      <c r="A10" s="13" t="inlineStr">
        <is>
          <t>Bug ID</t>
        </is>
      </c>
      <c r="B10" s="13" t="inlineStr">
        <is>
          <t>Title</t>
        </is>
      </c>
      <c r="C10" s="13" t="inlineStr">
        <is>
          <t>Related Test Case</t>
        </is>
      </c>
      <c r="D10" s="13" t="inlineStr">
        <is>
          <t>Steps to Reproduce</t>
        </is>
      </c>
      <c r="E10" s="13" t="inlineStr">
        <is>
          <t>Expected Result</t>
        </is>
      </c>
      <c r="F10" s="13" t="inlineStr">
        <is>
          <t>Actual Result</t>
        </is>
      </c>
      <c r="G10" s="13" t="inlineStr">
        <is>
          <t>Severity</t>
        </is>
      </c>
      <c r="H10" s="13" t="inlineStr">
        <is>
          <t>Status</t>
        </is>
      </c>
      <c r="I10" s="13" t="inlineStr">
        <is>
          <t>Reported By</t>
        </is>
      </c>
      <c r="J10" s="13" t="inlineStr">
        <is>
          <t>Reported Date</t>
        </is>
      </c>
      <c r="K10" s="13" t="inlineStr">
        <is>
          <t>Environment</t>
        </is>
      </c>
      <c r="L10" s="13" t="inlineStr">
        <is>
          <t>Attachments</t>
        </is>
      </c>
    </row>
    <row r="11">
      <c r="A11" s="6" t="inlineStr">
        <is>
          <t>BUG_01</t>
        </is>
      </c>
      <c r="B11" s="6" t="inlineStr">
        <is>
          <t>Đăng ký chấp nhận email sai định dạng "abc@gmail" (thiếu phần tên miền đầy đủ).</t>
        </is>
      </c>
      <c r="C11" s="6" t="inlineStr">
        <is>
          <t>TC_04</t>
        </is>
      </c>
      <c r="D11" s="6" t="inlineStr">
        <is>
          <t>1. Truy cập https://demo5.cybersoft.edu.vn/
2. Click icon user ở góc phải header
3. Click [Đăng ký]
4. Nhập "abc@gmail" vào ô [Email]
5. Click sang ô khác (nhấn Tab)</t>
        </is>
      </c>
      <c r="E11" s="6" t="inlineStr">
        <is>
          <t>Hiển thị message "Vui lòng nhập đúng định dạng email" dưới ô [Email].</t>
        </is>
      </c>
      <c r="F11" s="6" t="inlineStr">
        <is>
          <t>Không hiển thị message lỗi, email được chấp nhận. Các email sai khác (testing06gmail, abc@, @gmail.com, abc@gmail..com) hiển thị lỗi đúng.</t>
        </is>
      </c>
      <c r="G11" s="6" t="inlineStr">
        <is>
          <t>Medium</t>
        </is>
      </c>
      <c r="H11" s="6" t="inlineStr">
        <is>
          <t>Open</t>
        </is>
      </c>
      <c r="I11" s="6" t="inlineStr">
        <is>
          <t>Hứa Vinh Thắng</t>
        </is>
      </c>
      <c r="J11" s="15" t="n">
        <v>46313</v>
      </c>
      <c r="K11" s="6" t="inlineStr">
        <is>
          <t>Chromium (Playwright), demo5</t>
        </is>
      </c>
      <c r="L11" s="6" t="inlineStr">
        <is>
          <t>docs/ui-report: test email format message is shown for "abc@gmail"</t>
        </is>
      </c>
    </row>
    <row r="12">
      <c r="A12" s="6" t="inlineStr">
        <is>
          <t>BUG_02</t>
        </is>
      </c>
      <c r="B12" s="6" t="inlineStr">
        <is>
          <t>Form chỉnh sửa hồ sơ từ chối họ tên có số hoặc dấu "-", dù form đăng ký chấp nhận tên này.</t>
        </is>
      </c>
      <c r="C12" s="6" t="inlineStr">
        <is>
          <t>TC_27</t>
        </is>
      </c>
      <c r="D12" s="6" t="inlineStr">
        <is>
          <t>1. Đăng nhập bằng tài khoản có tên "test16-nhom6"
2. Vào trang Profile (Dashboard)
3. Click icon chỉnh sửa để mở popup cập nhật
4. Đổi số điện thoại, giữ nguyên họ tên
5. Click button [Cập nhật]</t>
        </is>
      </c>
      <c r="E12" s="6" t="inlineStr">
        <is>
          <t>Cập nhật thành công, hoặc form đăng ký và form chỉnh sửa dùng cùng quy tắc kiểm tra họ tên.</t>
        </is>
      </c>
      <c r="F12" s="6" t="inlineStr">
        <is>
          <t>Hiển thị lỗi "Họ tên không hợp lệ!" ở ô họ tên và không lưu được; người dùng phải đổi họ tên mới cập nhật được các trường khác.</t>
        </is>
      </c>
      <c r="G12" s="6" t="inlineStr">
        <is>
          <t>Low</t>
        </is>
      </c>
      <c r="H12" s="6" t="inlineStr">
        <is>
          <t>Open</t>
        </is>
      </c>
      <c r="I12" s="6" t="inlineStr">
        <is>
          <t>Hứa Vinh Thắng</t>
        </is>
      </c>
      <c r="J12" s="15" t="n">
        <v>46313</v>
      </c>
      <c r="K12" s="6" t="inlineStr">
        <is>
          <t>Chromium (Playwright), demo5</t>
        </is>
      </c>
      <c r="L12" s="6" t="inlineStr">
        <is>
          <t>Xem bước tái hiện (lỗi hiển thị ngay trên form)</t>
        </is>
      </c>
    </row>
    <row r="13">
      <c r="A13" s="6" t="n"/>
      <c r="B13" s="6" t="n"/>
      <c r="C13" s="6" t="n"/>
      <c r="D13" s="6" t="n"/>
      <c r="E13" s="6" t="n"/>
      <c r="F13" s="6" t="n"/>
      <c r="G13" s="6" t="n"/>
      <c r="H13" s="6" t="n"/>
      <c r="I13" s="6" t="n"/>
      <c r="J13" s="6" t="n"/>
      <c r="K13" s="6" t="n"/>
      <c r="L13" s="6" t="n"/>
    </row>
    <row r="14">
      <c r="A14" s="6" t="n"/>
      <c r="B14" s="6" t="n"/>
      <c r="C14" s="6" t="n"/>
      <c r="D14" s="6" t="n"/>
      <c r="E14" s="6" t="n"/>
      <c r="F14" s="6" t="n"/>
      <c r="G14" s="6" t="n"/>
      <c r="H14" s="6" t="n"/>
      <c r="I14" s="6" t="n"/>
      <c r="J14" s="6" t="n"/>
      <c r="K14" s="6" t="n"/>
      <c r="L14" s="6" t="n"/>
    </row>
    <row r="15">
      <c r="A15" s="6" t="n"/>
      <c r="B15" s="6" t="n"/>
      <c r="C15" s="6" t="n"/>
      <c r="D15" s="6" t="n"/>
      <c r="E15" s="6" t="n"/>
      <c r="F15" s="6" t="n"/>
      <c r="G15" s="6" t="n"/>
      <c r="H15" s="6" t="n"/>
      <c r="I15" s="6" t="n"/>
      <c r="J15" s="6" t="n"/>
      <c r="K15" s="6" t="n"/>
      <c r="L15" s="6" t="n"/>
    </row>
    <row r="16">
      <c r="A16" s="6" t="n"/>
      <c r="B16" s="6" t="n"/>
      <c r="C16" s="6" t="n"/>
      <c r="D16" s="6" t="n"/>
      <c r="E16" s="6" t="n"/>
      <c r="F16" s="6" t="n"/>
      <c r="G16" s="6" t="n"/>
      <c r="H16" s="6" t="n"/>
      <c r="I16" s="6" t="n"/>
      <c r="J16" s="6" t="n"/>
      <c r="K16" s="6" t="n"/>
      <c r="L16" s="6" t="n"/>
    </row>
    <row r="17">
      <c r="A17" s="6" t="n"/>
      <c r="B17" s="6" t="n"/>
      <c r="C17" s="6" t="n"/>
      <c r="D17" s="6" t="n"/>
      <c r="E17" s="6" t="n"/>
      <c r="F17" s="6" t="n"/>
      <c r="G17" s="6" t="n"/>
      <c r="H17" s="6" t="n"/>
      <c r="I17" s="6" t="n"/>
      <c r="J17" s="6" t="n"/>
      <c r="K17" s="6" t="n"/>
      <c r="L17" s="6" t="n"/>
    </row>
  </sheetData>
  <mergeCells count="1">
    <mergeCell ref="A1:H1"/>
  </mergeCells>
  <dataValidations count="2">
    <dataValidation sqref="G11:G50" showDropDown="0" showInputMessage="0" showErrorMessage="0" allowBlank="1" type="list">
      <formula1>"High,Medium,Low"</formula1>
    </dataValidation>
    <dataValidation sqref="H11:H50" showDropDown="0" showInputMessage="0" showErrorMessage="0" allowBlank="1" type="list">
      <formula1>"Open,In Progress,Fixed,Closed,Rejected"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2026-10-18T11:05:41Z</dcterms:created>
  <dcterms:modified xsi:type="dcterms:W3CDTF">2026-10-18T11:05:41Z</dcterms:modified>
</cp:coreProperties>
</file>